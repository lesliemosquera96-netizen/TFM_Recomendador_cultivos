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sli\Documents\TFM\notebooks\ML_outputs\"/>
    </mc:Choice>
  </mc:AlternateContent>
  <xr:revisionPtr revIDLastSave="0" documentId="13_ncr:1_{7DEC2E8E-44BD-49DD-B99E-C40FC6370FFD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G3" i="2"/>
  <c r="G12" i="1"/>
  <c r="G4" i="1"/>
  <c r="G2" i="1"/>
  <c r="G3" i="1"/>
  <c r="G13" i="1"/>
  <c r="G6" i="1"/>
  <c r="G10" i="1"/>
  <c r="G5" i="1"/>
  <c r="G80" i="1"/>
  <c r="G7" i="1"/>
  <c r="G11" i="1"/>
  <c r="G8" i="1"/>
  <c r="G26" i="1"/>
  <c r="G37" i="1"/>
  <c r="G24" i="1"/>
  <c r="G41" i="1"/>
  <c r="G47" i="1"/>
  <c r="G60" i="1"/>
  <c r="G15" i="1"/>
  <c r="G9" i="1"/>
  <c r="G14" i="1"/>
  <c r="G16" i="1"/>
  <c r="G36" i="1"/>
  <c r="G44" i="1"/>
  <c r="G23" i="1"/>
  <c r="G43" i="1"/>
  <c r="G58" i="1"/>
  <c r="G29" i="1"/>
  <c r="G50" i="1"/>
  <c r="G17" i="1"/>
  <c r="G20" i="1"/>
  <c r="G40" i="1"/>
  <c r="G30" i="1"/>
  <c r="G27" i="1"/>
  <c r="G21" i="1"/>
  <c r="G18" i="1"/>
  <c r="G19" i="1"/>
  <c r="G45" i="1"/>
  <c r="G31" i="1"/>
  <c r="G34" i="1"/>
  <c r="G57" i="1"/>
  <c r="G28" i="1"/>
  <c r="G25" i="1"/>
  <c r="G42" i="1"/>
  <c r="G38" i="1"/>
  <c r="G22" i="1"/>
  <c r="G59" i="1"/>
  <c r="G39" i="1"/>
  <c r="G33" i="1"/>
  <c r="G77" i="1"/>
  <c r="G52" i="1"/>
  <c r="G32" i="1"/>
  <c r="G48" i="1"/>
  <c r="G74" i="1"/>
  <c r="G53" i="1"/>
  <c r="G35" i="1"/>
  <c r="G49" i="1"/>
  <c r="G70" i="1"/>
  <c r="G63" i="1"/>
  <c r="G62" i="1"/>
  <c r="G67" i="1"/>
  <c r="G64" i="1"/>
  <c r="G61" i="1"/>
  <c r="G65" i="1"/>
  <c r="G56" i="1"/>
  <c r="G46" i="1"/>
  <c r="G72" i="1"/>
  <c r="G69" i="1"/>
  <c r="G54" i="1"/>
  <c r="G51" i="1"/>
  <c r="G73" i="1"/>
  <c r="G68" i="1"/>
  <c r="G55" i="1"/>
  <c r="G76" i="1"/>
  <c r="G75" i="1"/>
  <c r="G71" i="1"/>
  <c r="G78" i="1"/>
  <c r="G79" i="1"/>
  <c r="G66" i="1"/>
  <c r="G81" i="1"/>
  <c r="K12" i="1"/>
  <c r="K4" i="1"/>
  <c r="K2" i="1"/>
  <c r="K3" i="1"/>
  <c r="K13" i="1"/>
  <c r="K6" i="1"/>
  <c r="K10" i="1"/>
  <c r="K5" i="1"/>
  <c r="K80" i="1"/>
  <c r="K7" i="1"/>
  <c r="K11" i="1"/>
  <c r="K8" i="1"/>
  <c r="K26" i="1"/>
  <c r="K37" i="1"/>
  <c r="K24" i="1"/>
  <c r="K41" i="1"/>
  <c r="K47" i="1"/>
  <c r="K60" i="1"/>
  <c r="K15" i="1"/>
  <c r="K9" i="1"/>
  <c r="K14" i="1"/>
  <c r="K16" i="1"/>
  <c r="K36" i="1"/>
  <c r="K44" i="1"/>
  <c r="K23" i="1"/>
  <c r="K43" i="1"/>
  <c r="K58" i="1"/>
  <c r="K29" i="1"/>
  <c r="K50" i="1"/>
  <c r="K17" i="1"/>
  <c r="K20" i="1"/>
  <c r="K40" i="1"/>
  <c r="K30" i="1"/>
  <c r="K27" i="1"/>
  <c r="K21" i="1"/>
  <c r="K18" i="1"/>
  <c r="K19" i="1"/>
  <c r="K45" i="1"/>
  <c r="K31" i="1"/>
  <c r="K34" i="1"/>
  <c r="K57" i="1"/>
  <c r="K28" i="1"/>
  <c r="K25" i="1"/>
  <c r="K42" i="1"/>
  <c r="K38" i="1"/>
  <c r="K22" i="1"/>
  <c r="K59" i="1"/>
  <c r="K39" i="1"/>
  <c r="K33" i="1"/>
  <c r="K77" i="1"/>
  <c r="K52" i="1"/>
  <c r="K32" i="1"/>
  <c r="K48" i="1"/>
  <c r="K74" i="1"/>
  <c r="K53" i="1"/>
  <c r="K35" i="1"/>
  <c r="K49" i="1"/>
  <c r="K70" i="1"/>
  <c r="K63" i="1"/>
  <c r="K62" i="1"/>
  <c r="K67" i="1"/>
  <c r="K64" i="1"/>
  <c r="K61" i="1"/>
  <c r="K65" i="1"/>
  <c r="K56" i="1"/>
  <c r="K46" i="1"/>
  <c r="K72" i="1"/>
  <c r="K69" i="1"/>
  <c r="K54" i="1"/>
  <c r="K51" i="1"/>
  <c r="K73" i="1"/>
  <c r="K68" i="1"/>
  <c r="K55" i="1"/>
  <c r="K76" i="1"/>
  <c r="K75" i="1"/>
  <c r="K71" i="1"/>
  <c r="K78" i="1"/>
  <c r="K79" i="1"/>
  <c r="K66" i="1"/>
  <c r="K81" i="1"/>
</calcChain>
</file>

<file path=xl/sharedStrings.xml><?xml version="1.0" encoding="utf-8"?>
<sst xmlns="http://schemas.openxmlformats.org/spreadsheetml/2006/main" count="134" uniqueCount="28">
  <si>
    <t>modelo</t>
  </si>
  <si>
    <t>trial</t>
  </si>
  <si>
    <t>cv_wmape_val</t>
  </si>
  <si>
    <t>wmape_train</t>
  </si>
  <si>
    <t>wmape_val</t>
  </si>
  <si>
    <t>wmape_test</t>
  </si>
  <si>
    <t>r2_train</t>
  </si>
  <si>
    <t>r2_val</t>
  </si>
  <si>
    <t>r2_test</t>
  </si>
  <si>
    <t>t_fit_full_s</t>
  </si>
  <si>
    <t>param_n_estimators</t>
  </si>
  <si>
    <t>param_max_depth</t>
  </si>
  <si>
    <t>param_learning_rate</t>
  </si>
  <si>
    <t>param_subsample</t>
  </si>
  <si>
    <t>param_colsample_bytree</t>
  </si>
  <si>
    <t>param_reg_alpha</t>
  </si>
  <si>
    <t>param_reg_lambda</t>
  </si>
  <si>
    <t>param_min_child_weight</t>
  </si>
  <si>
    <t>param_random_state</t>
  </si>
  <si>
    <t>param_n_jobs</t>
  </si>
  <si>
    <t>param_early_stopping_rounds</t>
  </si>
  <si>
    <t>param_num_leaves</t>
  </si>
  <si>
    <t>param_min_child_samples</t>
  </si>
  <si>
    <t>param_verbose</t>
  </si>
  <si>
    <t>LightGBM</t>
  </si>
  <si>
    <t>XGBoost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</si>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</sst>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0" fontId="1" fillId="0" borderId="0" xfId="0" applyFont="1"/>
    <xf numFmtId="38" fontId="1" fillId="0" borderId="0" xfId="0" applyNumberFormat="1" applyFont="1" applyAlignment="1">
      <alignment vertical="center"/>
    </xf>
  </cellXfs>
  <cellStyles count="1">
    <cellStyle name="Normal" xfId="0" builtinId="0"/>
  </cellStyles>
  <dxfs count="25">
    <dxf>
      <numFmt numFmtId="164" formatCode="#,##0.000;[Red]\-#,##0.000"/>
      <alignment horizontal="general" vertical="center" textRotation="0" wrapText="0" indent="0" justifyLastLine="0" shrinkToFit="0" readingOrder="0"/>
    </dxf>
    <dxf>
      <numFmt numFmtId="164" formatCode="#,##0.000;[Red]\-#,##0.000"/>
      <alignment horizontal="general" vertical="center" textRotation="0" wrapText="0" indent="0" justifyLastLine="0" shrinkToFit="0" readingOrder="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6" formatCode="#,##0;[Red]\-#,##0"/>
    </dxf>
    <dxf>
      <numFmt numFmtId="6" formatCode="#,##0;[Red]\-#,##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Z81" totalsRowShown="0">
  <autoFilter ref="A1:Z81" xr:uid="{00000000-0009-0000-0100-000001000000}">
    <filterColumn colId="0">
      <filters>
        <filter val="XGBoost"/>
      </filters>
    </filterColumn>
  </autoFilter>
  <sortState xmlns:xlrd2="http://schemas.microsoft.com/office/spreadsheetml/2017/richdata2" ref="A17:Z81">
    <sortCondition ref="F1:F81"/>
  </sortState>
  <tableColumns count="26">
    <tableColumn id="1" xr3:uid="{00000000-0010-0000-0000-000001000000}" name="modelo"/>
    <tableColumn id="2" xr3:uid="{00000000-0010-0000-0000-000002000000}" name="trial" dataDxfId="24"/>
    <tableColumn id="3" xr3:uid="{00000000-0010-0000-0000-000003000000}" name="cv_wmape_val" dataDxfId="23"/>
    <tableColumn id="4" xr3:uid="{00000000-0010-0000-0000-000004000000}" name="wmape_train" dataDxfId="22"/>
    <tableColumn id="5" xr3:uid="{00000000-0010-0000-0000-000005000000}" name="wmape_val" dataDxfId="21"/>
    <tableColumn id="6" xr3:uid="{00000000-0010-0000-0000-000006000000}" name="wmape_test" dataDxfId="20"/>
    <tableColumn id="26" xr3:uid="{8E9E93B2-0EC3-4EE1-A885-6A91B7B55B4D}" name="Columna2" dataDxfId="0">
      <calculatedColumnFormula>+Frame0[[#This Row],[wmape_test]]-Frame0[[#This Row],[wmape_train]]</calculatedColumnFormula>
    </tableColumn>
    <tableColumn id="7" xr3:uid="{00000000-0010-0000-0000-000007000000}" name="r2_train" dataDxfId="19"/>
    <tableColumn id="8" xr3:uid="{00000000-0010-0000-0000-000008000000}" name="r2_val" dataDxfId="18"/>
    <tableColumn id="9" xr3:uid="{00000000-0010-0000-0000-000009000000}" name="r2_test" dataDxfId="17"/>
    <tableColumn id="25" xr3:uid="{1685061F-8441-4130-9066-6D51ED14DF41}" name="Columna1" dataDxfId="1">
      <calculatedColumnFormula>+Frame0[[#This Row],[r2_train]]-Frame0[[#This Row],[r2_test]]</calculatedColumnFormula>
    </tableColumn>
    <tableColumn id="10" xr3:uid="{00000000-0010-0000-0000-00000A000000}" name="t_fit_full_s" dataDxfId="16"/>
    <tableColumn id="11" xr3:uid="{00000000-0010-0000-0000-00000B000000}" name="param_n_estimators" dataDxfId="15"/>
    <tableColumn id="12" xr3:uid="{00000000-0010-0000-0000-00000C000000}" name="param_max_depth" dataDxfId="14"/>
    <tableColumn id="13" xr3:uid="{00000000-0010-0000-0000-00000D000000}" name="param_learning_rate" dataDxfId="13"/>
    <tableColumn id="14" xr3:uid="{00000000-0010-0000-0000-00000E000000}" name="param_subsample" dataDxfId="12"/>
    <tableColumn id="15" xr3:uid="{00000000-0010-0000-0000-00000F000000}" name="param_colsample_bytree" dataDxfId="11"/>
    <tableColumn id="16" xr3:uid="{00000000-0010-0000-0000-000010000000}" name="param_reg_alpha" dataDxfId="10"/>
    <tableColumn id="17" xr3:uid="{00000000-0010-0000-0000-000011000000}" name="param_reg_lambda" dataDxfId="9"/>
    <tableColumn id="18" xr3:uid="{00000000-0010-0000-0000-000012000000}" name="param_min_child_weight" dataDxfId="8"/>
    <tableColumn id="19" xr3:uid="{00000000-0010-0000-0000-000013000000}" name="param_random_state" dataDxfId="7"/>
    <tableColumn id="20" xr3:uid="{00000000-0010-0000-0000-000014000000}" name="param_n_jobs" dataDxfId="6"/>
    <tableColumn id="21" xr3:uid="{00000000-0010-0000-0000-000015000000}" name="param_early_stopping_rounds" dataDxfId="5"/>
    <tableColumn id="22" xr3:uid="{00000000-0010-0000-0000-000016000000}" name="param_num_leaves" dataDxfId="4"/>
    <tableColumn id="23" xr3:uid="{00000000-0010-0000-0000-000017000000}" name="param_min_child_samples" dataDxfId="3"/>
    <tableColumn id="24" xr3:uid="{00000000-0010-0000-0000-000018000000}" name="param_verbos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1"/>
  <sheetViews>
    <sheetView workbookViewId="0">
      <selection activeCell="A25" sqref="A25:XFD25"/>
    </sheetView>
  </sheetViews>
  <sheetFormatPr baseColWidth="10" defaultColWidth="8.88671875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6</v>
      </c>
      <c r="I1" t="s">
        <v>7</v>
      </c>
      <c r="J1" t="s">
        <v>8</v>
      </c>
      <c r="K1" t="s">
        <v>26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hidden="1" x14ac:dyDescent="0.3">
      <c r="A2" s="1" t="s">
        <v>24</v>
      </c>
      <c r="B2" s="2">
        <v>36</v>
      </c>
      <c r="C2" s="3">
        <v>1.138050025084292</v>
      </c>
      <c r="D2" s="3">
        <v>0.19102003700792469</v>
      </c>
      <c r="E2" s="3">
        <v>0.93833040481725227</v>
      </c>
      <c r="F2" s="3">
        <v>3.1846421318860512</v>
      </c>
      <c r="G2" s="3">
        <f>+Frame0[[#This Row],[wmape_test]]-Frame0[[#This Row],[wmape_train]]</f>
        <v>2.9936220948781265</v>
      </c>
      <c r="H2" s="3">
        <v>0.99940755384519586</v>
      </c>
      <c r="I2" s="3">
        <v>0.94830626403214302</v>
      </c>
      <c r="J2" s="3">
        <v>0.85808317505519671</v>
      </c>
      <c r="K2" s="3">
        <f>+Frame0[[#This Row],[r2_train]]-Frame0[[#This Row],[r2_test]]</f>
        <v>0.14132437878999915</v>
      </c>
      <c r="L2" s="3">
        <v>16.874490976333622</v>
      </c>
      <c r="M2" s="2">
        <v>600</v>
      </c>
      <c r="N2" s="2">
        <v>14</v>
      </c>
      <c r="O2" s="3">
        <v>0.05</v>
      </c>
      <c r="P2" s="3">
        <v>0.68278861787719181</v>
      </c>
      <c r="Q2" s="3">
        <v>0.91980310217432493</v>
      </c>
      <c r="R2" s="3">
        <v>1.82742394180612E-3</v>
      </c>
      <c r="S2" s="3">
        <v>5.7007745860013552E-2</v>
      </c>
      <c r="T2" s="2"/>
      <c r="U2" s="2">
        <v>42</v>
      </c>
      <c r="V2" s="2">
        <v>-1</v>
      </c>
      <c r="W2" s="2"/>
      <c r="X2" s="2">
        <v>100</v>
      </c>
      <c r="Y2" s="2">
        <v>76</v>
      </c>
      <c r="Z2" s="2">
        <v>-1</v>
      </c>
    </row>
    <row r="3" spans="1:26" hidden="1" x14ac:dyDescent="0.3">
      <c r="A3" s="1" t="s">
        <v>24</v>
      </c>
      <c r="B3" s="2">
        <v>31</v>
      </c>
      <c r="C3" s="3">
        <v>1.088675913811632</v>
      </c>
      <c r="D3" s="3">
        <v>0.19040641785865081</v>
      </c>
      <c r="E3" s="3">
        <v>0.93696647292651325</v>
      </c>
      <c r="F3" s="3">
        <v>3.195662043241521</v>
      </c>
      <c r="G3" s="3">
        <f>+Frame0[[#This Row],[wmape_test]]-Frame0[[#This Row],[wmape_train]]</f>
        <v>3.0052556253828704</v>
      </c>
      <c r="H3" s="3">
        <v>0.99935455667136175</v>
      </c>
      <c r="I3" s="3">
        <v>0.94849106378813985</v>
      </c>
      <c r="J3" s="3">
        <v>0.8579566153365763</v>
      </c>
      <c r="K3" s="3">
        <f>+Frame0[[#This Row],[r2_train]]-Frame0[[#This Row],[r2_test]]</f>
        <v>0.14139794133478545</v>
      </c>
      <c r="L3" s="3">
        <v>23.349612236022949</v>
      </c>
      <c r="M3" s="2">
        <v>600</v>
      </c>
      <c r="N3" s="2">
        <v>14</v>
      </c>
      <c r="O3" s="3">
        <v>0.05</v>
      </c>
      <c r="P3" s="3">
        <v>0.85148217142643123</v>
      </c>
      <c r="Q3" s="3">
        <v>0.94218540415730934</v>
      </c>
      <c r="R3" s="3">
        <v>9.3535508528071378E-3</v>
      </c>
      <c r="S3" s="3">
        <v>0.54896950873480621</v>
      </c>
      <c r="T3" s="2"/>
      <c r="U3" s="2">
        <v>42</v>
      </c>
      <c r="V3" s="2">
        <v>-1</v>
      </c>
      <c r="W3" s="2"/>
      <c r="X3" s="2">
        <v>100</v>
      </c>
      <c r="Y3" s="2">
        <v>94</v>
      </c>
      <c r="Z3" s="2">
        <v>-1</v>
      </c>
    </row>
    <row r="4" spans="1:26" hidden="1" x14ac:dyDescent="0.3">
      <c r="A4" s="1" t="s">
        <v>24</v>
      </c>
      <c r="B4" s="2">
        <v>33</v>
      </c>
      <c r="C4" s="3">
        <v>1.140847942485957</v>
      </c>
      <c r="D4" s="3">
        <v>0.19040617539984561</v>
      </c>
      <c r="E4" s="3">
        <v>0.94026064656265795</v>
      </c>
      <c r="F4" s="3">
        <v>3.1980157735630179</v>
      </c>
      <c r="G4" s="3">
        <f>+Frame0[[#This Row],[wmape_test]]-Frame0[[#This Row],[wmape_train]]</f>
        <v>3.0076095981631723</v>
      </c>
      <c r="H4" s="3">
        <v>0.99933870481653997</v>
      </c>
      <c r="I4" s="3">
        <v>0.94934771995876222</v>
      </c>
      <c r="J4" s="3">
        <v>0.85837150787425287</v>
      </c>
      <c r="K4" s="3">
        <f>+Frame0[[#This Row],[r2_train]]-Frame0[[#This Row],[r2_test]]</f>
        <v>0.1409671969422871</v>
      </c>
      <c r="L4" s="3">
        <v>20.65283465385437</v>
      </c>
      <c r="M4" s="2">
        <v>600</v>
      </c>
      <c r="N4" s="2">
        <v>14</v>
      </c>
      <c r="O4" s="3">
        <v>0.05</v>
      </c>
      <c r="P4" s="3">
        <v>0.78443957933576092</v>
      </c>
      <c r="Q4" s="3">
        <v>0.98138726524751863</v>
      </c>
      <c r="R4" s="3">
        <v>1.652622272943158E-3</v>
      </c>
      <c r="S4" s="3">
        <v>0.56550288517188319</v>
      </c>
      <c r="T4" s="2"/>
      <c r="U4" s="2">
        <v>42</v>
      </c>
      <c r="V4" s="2">
        <v>-1</v>
      </c>
      <c r="W4" s="2"/>
      <c r="X4" s="2">
        <v>100</v>
      </c>
      <c r="Y4" s="2">
        <v>99</v>
      </c>
      <c r="Z4" s="2">
        <v>-1</v>
      </c>
    </row>
    <row r="5" spans="1:26" hidden="1" x14ac:dyDescent="0.3">
      <c r="A5" s="1" t="s">
        <v>24</v>
      </c>
      <c r="B5" s="2">
        <v>25</v>
      </c>
      <c r="C5" s="3">
        <v>1.121769327895844</v>
      </c>
      <c r="D5" s="3">
        <v>0.18888540123981029</v>
      </c>
      <c r="E5" s="3">
        <v>0.93698698986541251</v>
      </c>
      <c r="F5" s="3">
        <v>3.2014351368905229</v>
      </c>
      <c r="G5" s="3">
        <f>+Frame0[[#This Row],[wmape_test]]-Frame0[[#This Row],[wmape_train]]</f>
        <v>3.0125497356507127</v>
      </c>
      <c r="H5" s="3">
        <v>0.99937555428812563</v>
      </c>
      <c r="I5" s="3">
        <v>0.94903202088020899</v>
      </c>
      <c r="J5" s="3">
        <v>0.85701655918304454</v>
      </c>
      <c r="K5" s="3">
        <f>+Frame0[[#This Row],[r2_train]]-Frame0[[#This Row],[r2_test]]</f>
        <v>0.1423589951050811</v>
      </c>
      <c r="L5" s="3">
        <v>19.460026502609249</v>
      </c>
      <c r="M5" s="2">
        <v>600</v>
      </c>
      <c r="N5" s="2">
        <v>14</v>
      </c>
      <c r="O5" s="3">
        <v>0.05</v>
      </c>
      <c r="P5" s="3">
        <v>0.87047944801480315</v>
      </c>
      <c r="Q5" s="3">
        <v>0.99832899936514785</v>
      </c>
      <c r="R5" s="3">
        <v>1.306428894542332E-2</v>
      </c>
      <c r="S5" s="3">
        <v>0.2989556887461573</v>
      </c>
      <c r="T5" s="2"/>
      <c r="U5" s="2">
        <v>42</v>
      </c>
      <c r="V5" s="2">
        <v>-1</v>
      </c>
      <c r="W5" s="2"/>
      <c r="X5" s="2">
        <v>100</v>
      </c>
      <c r="Y5" s="2">
        <v>80</v>
      </c>
      <c r="Z5" s="2">
        <v>-1</v>
      </c>
    </row>
    <row r="6" spans="1:26" hidden="1" x14ac:dyDescent="0.3">
      <c r="A6" s="1" t="s">
        <v>24</v>
      </c>
      <c r="B6" s="2">
        <v>24</v>
      </c>
      <c r="C6" s="3">
        <v>1.1033417093565889</v>
      </c>
      <c r="D6" s="3">
        <v>0.18736528570683339</v>
      </c>
      <c r="E6" s="3">
        <v>0.93896069615887612</v>
      </c>
      <c r="F6" s="3">
        <v>3.20224225987418</v>
      </c>
      <c r="G6" s="3">
        <f>+Frame0[[#This Row],[wmape_test]]-Frame0[[#This Row],[wmape_train]]</f>
        <v>3.0148769741673465</v>
      </c>
      <c r="H6" s="3">
        <v>0.99941581533816604</v>
      </c>
      <c r="I6" s="3">
        <v>0.94922610323301948</v>
      </c>
      <c r="J6" s="3">
        <v>0.85770027886769729</v>
      </c>
      <c r="K6" s="3">
        <f>+Frame0[[#This Row],[r2_train]]-Frame0[[#This Row],[r2_test]]</f>
        <v>0.14171553647046875</v>
      </c>
      <c r="L6" s="3">
        <v>16.84222674369812</v>
      </c>
      <c r="M6" s="2">
        <v>600</v>
      </c>
      <c r="N6" s="2">
        <v>14</v>
      </c>
      <c r="O6" s="3">
        <v>0.05</v>
      </c>
      <c r="P6" s="3">
        <v>0.86535470919577873</v>
      </c>
      <c r="Q6" s="3">
        <v>0.95009482279608948</v>
      </c>
      <c r="R6" s="3">
        <v>1.5152393746198379E-2</v>
      </c>
      <c r="S6" s="3">
        <v>0.42698340701277421</v>
      </c>
      <c r="T6" s="2"/>
      <c r="U6" s="2">
        <v>42</v>
      </c>
      <c r="V6" s="2">
        <v>-1</v>
      </c>
      <c r="W6" s="2"/>
      <c r="X6" s="2">
        <v>100</v>
      </c>
      <c r="Y6" s="2">
        <v>67</v>
      </c>
      <c r="Z6" s="2">
        <v>-1</v>
      </c>
    </row>
    <row r="7" spans="1:26" hidden="1" x14ac:dyDescent="0.3">
      <c r="A7" s="1" t="s">
        <v>24</v>
      </c>
      <c r="B7" s="2">
        <v>27</v>
      </c>
      <c r="C7" s="3">
        <v>1.0973705865940719</v>
      </c>
      <c r="D7" s="3">
        <v>0.188706226277119</v>
      </c>
      <c r="E7" s="3">
        <v>0.9325150152665258</v>
      </c>
      <c r="F7" s="3">
        <v>3.2030340009288252</v>
      </c>
      <c r="G7" s="3">
        <f>+Frame0[[#This Row],[wmape_test]]-Frame0[[#This Row],[wmape_train]]</f>
        <v>3.0143277746517061</v>
      </c>
      <c r="H7" s="3">
        <v>0.99938965070039387</v>
      </c>
      <c r="I7" s="3">
        <v>0.94862639117674685</v>
      </c>
      <c r="J7" s="3">
        <v>0.85673244673415183</v>
      </c>
      <c r="K7" s="3">
        <f>+Frame0[[#This Row],[r2_train]]-Frame0[[#This Row],[r2_test]]</f>
        <v>0.14265720396624204</v>
      </c>
      <c r="L7" s="3">
        <v>17.493576526641849</v>
      </c>
      <c r="M7" s="2">
        <v>600</v>
      </c>
      <c r="N7" s="2">
        <v>14</v>
      </c>
      <c r="O7" s="3">
        <v>0.05</v>
      </c>
      <c r="P7" s="3">
        <v>0.77725628318508122</v>
      </c>
      <c r="Q7" s="3">
        <v>0.96714020746546281</v>
      </c>
      <c r="R7" s="3">
        <v>2.0670015478095418E-3</v>
      </c>
      <c r="S7" s="3">
        <v>0.35297034344957628</v>
      </c>
      <c r="T7" s="2"/>
      <c r="U7" s="2">
        <v>42</v>
      </c>
      <c r="V7" s="2">
        <v>-1</v>
      </c>
      <c r="W7" s="2"/>
      <c r="X7" s="2">
        <v>100</v>
      </c>
      <c r="Y7" s="2">
        <v>84</v>
      </c>
      <c r="Z7" s="2">
        <v>-1</v>
      </c>
    </row>
    <row r="8" spans="1:26" hidden="1" x14ac:dyDescent="0.3">
      <c r="A8" s="1" t="s">
        <v>24</v>
      </c>
      <c r="B8" s="2">
        <v>39</v>
      </c>
      <c r="C8" s="3">
        <v>1.119483605787394</v>
      </c>
      <c r="D8" s="3">
        <v>0.19348046248640019</v>
      </c>
      <c r="E8" s="3">
        <v>0.93863103788527569</v>
      </c>
      <c r="F8" s="3">
        <v>3.207339999341015</v>
      </c>
      <c r="G8" s="3">
        <f>+Frame0[[#This Row],[wmape_test]]-Frame0[[#This Row],[wmape_train]]</f>
        <v>3.0138595368546146</v>
      </c>
      <c r="H8" s="3">
        <v>0.99939571697097696</v>
      </c>
      <c r="I8" s="3">
        <v>0.94808773454134931</v>
      </c>
      <c r="J8" s="3">
        <v>0.85641887800633631</v>
      </c>
      <c r="K8" s="3">
        <f>+Frame0[[#This Row],[r2_train]]-Frame0[[#This Row],[r2_test]]</f>
        <v>0.14297683896464064</v>
      </c>
      <c r="L8" s="3">
        <v>20.830823421478271</v>
      </c>
      <c r="M8" s="2">
        <v>600</v>
      </c>
      <c r="N8" s="2">
        <v>14</v>
      </c>
      <c r="O8" s="3">
        <v>0.05</v>
      </c>
      <c r="P8" s="3">
        <v>0.75870700337756547</v>
      </c>
      <c r="Q8" s="3">
        <v>0.90586694678356117</v>
      </c>
      <c r="R8" s="3">
        <v>2.6942410132595172E-3</v>
      </c>
      <c r="S8" s="3">
        <v>9.738425638553154E-2</v>
      </c>
      <c r="T8" s="2"/>
      <c r="U8" s="2">
        <v>42</v>
      </c>
      <c r="V8" s="2">
        <v>-1</v>
      </c>
      <c r="W8" s="2"/>
      <c r="X8" s="2">
        <v>100</v>
      </c>
      <c r="Y8" s="2">
        <v>73</v>
      </c>
      <c r="Z8" s="2">
        <v>-1</v>
      </c>
    </row>
    <row r="9" spans="1:26" hidden="1" x14ac:dyDescent="0.3">
      <c r="A9" s="1" t="s">
        <v>24</v>
      </c>
      <c r="B9" s="2">
        <v>30</v>
      </c>
      <c r="C9" s="3">
        <v>1.129109518101169</v>
      </c>
      <c r="D9" s="3">
        <v>0.19330405566444919</v>
      </c>
      <c r="E9" s="3">
        <v>0.94151544175702873</v>
      </c>
      <c r="F9" s="3">
        <v>3.2107698913209881</v>
      </c>
      <c r="G9" s="3">
        <f>+Frame0[[#This Row],[wmape_test]]-Frame0[[#This Row],[wmape_train]]</f>
        <v>3.0174658356565391</v>
      </c>
      <c r="H9" s="3">
        <v>0.99941002255875</v>
      </c>
      <c r="I9" s="3">
        <v>0.94725030819077072</v>
      </c>
      <c r="J9" s="3">
        <v>0.85435392011653022</v>
      </c>
      <c r="K9" s="3">
        <f>+Frame0[[#This Row],[r2_train]]-Frame0[[#This Row],[r2_test]]</f>
        <v>0.14505610244221978</v>
      </c>
      <c r="L9" s="3">
        <v>16.91845178604126</v>
      </c>
      <c r="M9" s="2">
        <v>600</v>
      </c>
      <c r="N9" s="2">
        <v>14</v>
      </c>
      <c r="O9" s="3">
        <v>0.05</v>
      </c>
      <c r="P9" s="3">
        <v>0.78073254054392482</v>
      </c>
      <c r="Q9" s="3">
        <v>0.90995098343722258</v>
      </c>
      <c r="R9" s="3">
        <v>3.866002931401556E-3</v>
      </c>
      <c r="S9" s="3">
        <v>0.19059710815490261</v>
      </c>
      <c r="T9" s="2"/>
      <c r="U9" s="2">
        <v>42</v>
      </c>
      <c r="V9" s="2">
        <v>-1</v>
      </c>
      <c r="W9" s="2"/>
      <c r="X9" s="2">
        <v>100</v>
      </c>
      <c r="Y9" s="2">
        <v>71</v>
      </c>
      <c r="Z9" s="2">
        <v>-1</v>
      </c>
    </row>
    <row r="10" spans="1:26" hidden="1" x14ac:dyDescent="0.3">
      <c r="A10" s="1" t="s">
        <v>24</v>
      </c>
      <c r="B10" s="2">
        <v>26</v>
      </c>
      <c r="C10" s="3">
        <v>1.093987616323381</v>
      </c>
      <c r="D10" s="3">
        <v>0.1848075376062161</v>
      </c>
      <c r="E10" s="3">
        <v>0.93388499803395009</v>
      </c>
      <c r="F10" s="3">
        <v>3.2108927087447698</v>
      </c>
      <c r="G10" s="3">
        <f>+Frame0[[#This Row],[wmape_test]]-Frame0[[#This Row],[wmape_train]]</f>
        <v>3.0260851711385537</v>
      </c>
      <c r="H10" s="3">
        <v>0.99941221228191912</v>
      </c>
      <c r="I10" s="3">
        <v>0.94945366470647086</v>
      </c>
      <c r="J10" s="3">
        <v>0.85727927108804858</v>
      </c>
      <c r="K10" s="3">
        <f>+Frame0[[#This Row],[r2_train]]-Frame0[[#This Row],[r2_test]]</f>
        <v>0.14213294119387054</v>
      </c>
      <c r="L10" s="3">
        <v>18.04919528961182</v>
      </c>
      <c r="M10" s="2">
        <v>600</v>
      </c>
      <c r="N10" s="2">
        <v>14</v>
      </c>
      <c r="O10" s="3">
        <v>0.05</v>
      </c>
      <c r="P10" s="3">
        <v>0.78649488061753425</v>
      </c>
      <c r="Q10" s="3">
        <v>0.94893569574391656</v>
      </c>
      <c r="R10" s="3">
        <v>3.5509820787671849E-3</v>
      </c>
      <c r="S10" s="3">
        <v>5.4255981561213293E-2</v>
      </c>
      <c r="T10" s="2"/>
      <c r="U10" s="2">
        <v>42</v>
      </c>
      <c r="V10" s="2">
        <v>-1</v>
      </c>
      <c r="W10" s="2"/>
      <c r="X10" s="2">
        <v>100</v>
      </c>
      <c r="Y10" s="2">
        <v>80</v>
      </c>
      <c r="Z10" s="2">
        <v>-1</v>
      </c>
    </row>
    <row r="11" spans="1:26" hidden="1" x14ac:dyDescent="0.3">
      <c r="A11" s="1" t="s">
        <v>24</v>
      </c>
      <c r="B11" s="2">
        <v>32</v>
      </c>
      <c r="C11" s="3">
        <v>1.1004394969501481</v>
      </c>
      <c r="D11" s="3">
        <v>0.19068217810788801</v>
      </c>
      <c r="E11" s="3">
        <v>0.94508353922229549</v>
      </c>
      <c r="F11" s="3">
        <v>3.2134002170173588</v>
      </c>
      <c r="G11" s="3">
        <f>+Frame0[[#This Row],[wmape_test]]-Frame0[[#This Row],[wmape_train]]</f>
        <v>3.0227180389094706</v>
      </c>
      <c r="H11" s="3">
        <v>0.99935231170763272</v>
      </c>
      <c r="I11" s="3">
        <v>0.94876101447938688</v>
      </c>
      <c r="J11" s="3">
        <v>0.85660618664314936</v>
      </c>
      <c r="K11" s="3">
        <f>+Frame0[[#This Row],[r2_train]]-Frame0[[#This Row],[r2_test]]</f>
        <v>0.14274612506448336</v>
      </c>
      <c r="L11" s="3">
        <v>18.665509223937988</v>
      </c>
      <c r="M11" s="2">
        <v>600</v>
      </c>
      <c r="N11" s="2">
        <v>14</v>
      </c>
      <c r="O11" s="3">
        <v>0.05</v>
      </c>
      <c r="P11" s="3">
        <v>0.79089480878881313</v>
      </c>
      <c r="Q11" s="3">
        <v>0.97291793482378996</v>
      </c>
      <c r="R11" s="3">
        <v>9.6705204312788617E-3</v>
      </c>
      <c r="S11" s="3">
        <v>0.60350913633927761</v>
      </c>
      <c r="T11" s="2"/>
      <c r="U11" s="2">
        <v>42</v>
      </c>
      <c r="V11" s="2">
        <v>-1</v>
      </c>
      <c r="W11" s="2"/>
      <c r="X11" s="2">
        <v>100</v>
      </c>
      <c r="Y11" s="2">
        <v>96</v>
      </c>
      <c r="Z11" s="2">
        <v>-1</v>
      </c>
    </row>
    <row r="12" spans="1:26" hidden="1" x14ac:dyDescent="0.3">
      <c r="A12" s="1" t="s">
        <v>24</v>
      </c>
      <c r="B12" s="2">
        <v>28</v>
      </c>
      <c r="C12" s="3">
        <v>1.161748291749265</v>
      </c>
      <c r="D12" s="3">
        <v>0.20098978021400249</v>
      </c>
      <c r="E12" s="3">
        <v>0.96120399462008477</v>
      </c>
      <c r="F12" s="3">
        <v>3.2136893102773509</v>
      </c>
      <c r="G12" s="3">
        <f>+Frame0[[#This Row],[wmape_test]]-Frame0[[#This Row],[wmape_train]]</f>
        <v>3.0126995300633483</v>
      </c>
      <c r="H12" s="3">
        <v>0.99937774721865502</v>
      </c>
      <c r="I12" s="3">
        <v>0.95085403860058859</v>
      </c>
      <c r="J12" s="3">
        <v>0.86199451006365435</v>
      </c>
      <c r="K12" s="4">
        <f>+Frame0[[#This Row],[r2_train]]-Frame0[[#This Row],[r2_test]]</f>
        <v>0.13738323715500067</v>
      </c>
      <c r="L12" s="3">
        <v>12.30373001098633</v>
      </c>
      <c r="M12" s="2">
        <v>600</v>
      </c>
      <c r="N12" s="2">
        <v>14</v>
      </c>
      <c r="O12" s="3">
        <v>0.1</v>
      </c>
      <c r="P12" s="3">
        <v>0.78268034777315865</v>
      </c>
      <c r="Q12" s="3">
        <v>0.9620030719949052</v>
      </c>
      <c r="R12" s="3">
        <v>2.3697978487370328E-3</v>
      </c>
      <c r="S12" s="3">
        <v>0.34164787685420672</v>
      </c>
      <c r="T12" s="2"/>
      <c r="U12" s="2">
        <v>42</v>
      </c>
      <c r="V12" s="2">
        <v>-1</v>
      </c>
      <c r="W12" s="2"/>
      <c r="X12" s="2">
        <v>50</v>
      </c>
      <c r="Y12" s="2">
        <v>85</v>
      </c>
      <c r="Z12" s="2">
        <v>-1</v>
      </c>
    </row>
    <row r="13" spans="1:26" hidden="1" x14ac:dyDescent="0.3">
      <c r="A13" s="1" t="s">
        <v>24</v>
      </c>
      <c r="B13" s="2">
        <v>23</v>
      </c>
      <c r="C13" s="3">
        <v>1.119909609882908</v>
      </c>
      <c r="D13" s="3">
        <v>0.18713542487910109</v>
      </c>
      <c r="E13" s="3">
        <v>0.95458767008574086</v>
      </c>
      <c r="F13" s="3">
        <v>3.2158921916283449</v>
      </c>
      <c r="G13" s="3">
        <f>+Frame0[[#This Row],[wmape_test]]-Frame0[[#This Row],[wmape_train]]</f>
        <v>3.0287567667492437</v>
      </c>
      <c r="H13" s="3">
        <v>0.99941277267780682</v>
      </c>
      <c r="I13" s="3">
        <v>0.94892769109007846</v>
      </c>
      <c r="J13" s="3">
        <v>0.85782172863304429</v>
      </c>
      <c r="K13" s="3">
        <f>+Frame0[[#This Row],[r2_train]]-Frame0[[#This Row],[r2_test]]</f>
        <v>0.14159104404476253</v>
      </c>
      <c r="L13" s="3">
        <v>17.140932559967041</v>
      </c>
      <c r="M13" s="2">
        <v>600</v>
      </c>
      <c r="N13" s="2">
        <v>14</v>
      </c>
      <c r="O13" s="3">
        <v>0.05</v>
      </c>
      <c r="P13" s="3">
        <v>0.94204932413329201</v>
      </c>
      <c r="Q13" s="3">
        <v>0.94407909214963215</v>
      </c>
      <c r="R13" s="3">
        <v>2.6323473593251361E-2</v>
      </c>
      <c r="S13" s="3">
        <v>1.2628657643243391</v>
      </c>
      <c r="T13" s="2"/>
      <c r="U13" s="2">
        <v>42</v>
      </c>
      <c r="V13" s="2">
        <v>-1</v>
      </c>
      <c r="W13" s="2"/>
      <c r="X13" s="2">
        <v>100</v>
      </c>
      <c r="Y13" s="2">
        <v>63</v>
      </c>
      <c r="Z13" s="2">
        <v>-1</v>
      </c>
    </row>
    <row r="14" spans="1:26" hidden="1" x14ac:dyDescent="0.3">
      <c r="A14" s="1" t="s">
        <v>24</v>
      </c>
      <c r="B14" s="2">
        <v>35</v>
      </c>
      <c r="C14" s="3">
        <v>1.1168587368773939</v>
      </c>
      <c r="D14" s="3">
        <v>0.1948426954934748</v>
      </c>
      <c r="E14" s="3">
        <v>0.94281333721032345</v>
      </c>
      <c r="F14" s="3">
        <v>3.2177427058018502</v>
      </c>
      <c r="G14" s="3">
        <f>+Frame0[[#This Row],[wmape_test]]-Frame0[[#This Row],[wmape_train]]</f>
        <v>3.0229000103083754</v>
      </c>
      <c r="H14" s="3">
        <v>0.99936509387703032</v>
      </c>
      <c r="I14" s="3">
        <v>0.94674300050655247</v>
      </c>
      <c r="J14" s="3">
        <v>0.85396571658982789</v>
      </c>
      <c r="K14" s="3">
        <f>+Frame0[[#This Row],[r2_train]]-Frame0[[#This Row],[r2_test]]</f>
        <v>0.14539937728720242</v>
      </c>
      <c r="L14" s="3">
        <v>19.587615966796879</v>
      </c>
      <c r="M14" s="2">
        <v>600</v>
      </c>
      <c r="N14" s="2">
        <v>14</v>
      </c>
      <c r="O14" s="3">
        <v>0.05</v>
      </c>
      <c r="P14" s="3">
        <v>0.70905135120867757</v>
      </c>
      <c r="Q14" s="3">
        <v>0.88790405236826386</v>
      </c>
      <c r="R14" s="3">
        <v>5.6403727395349778E-3</v>
      </c>
      <c r="S14" s="3">
        <v>0.22161828991946181</v>
      </c>
      <c r="T14" s="2"/>
      <c r="U14" s="2">
        <v>42</v>
      </c>
      <c r="V14" s="2">
        <v>-1</v>
      </c>
      <c r="W14" s="2"/>
      <c r="X14" s="2">
        <v>100</v>
      </c>
      <c r="Y14" s="2">
        <v>89</v>
      </c>
      <c r="Z14" s="2">
        <v>-1</v>
      </c>
    </row>
    <row r="15" spans="1:26" hidden="1" x14ac:dyDescent="0.3">
      <c r="A15" s="1" t="s">
        <v>24</v>
      </c>
      <c r="B15" s="2">
        <v>34</v>
      </c>
      <c r="C15" s="3">
        <v>1.0729127734701449</v>
      </c>
      <c r="D15" s="3">
        <v>0.19107720983692869</v>
      </c>
      <c r="E15" s="3">
        <v>0.941540140957841</v>
      </c>
      <c r="F15" s="3">
        <v>3.2232261996268412</v>
      </c>
      <c r="G15" s="3">
        <f>+Frame0[[#This Row],[wmape_test]]-Frame0[[#This Row],[wmape_train]]</f>
        <v>3.0321489897899125</v>
      </c>
      <c r="H15" s="3">
        <v>0.99934798011419657</v>
      </c>
      <c r="I15" s="3">
        <v>0.94761650131245545</v>
      </c>
      <c r="J15" s="3">
        <v>0.85432550827537568</v>
      </c>
      <c r="K15" s="3">
        <f>+Frame0[[#This Row],[r2_train]]-Frame0[[#This Row],[r2_test]]</f>
        <v>0.14502247183882089</v>
      </c>
      <c r="L15" s="3">
        <v>21.083480596542358</v>
      </c>
      <c r="M15" s="2">
        <v>600</v>
      </c>
      <c r="N15" s="2">
        <v>14</v>
      </c>
      <c r="O15" s="3">
        <v>0.05</v>
      </c>
      <c r="P15" s="3">
        <v>0.70666307970621778</v>
      </c>
      <c r="Q15" s="3">
        <v>0.97686512101238676</v>
      </c>
      <c r="R15" s="3">
        <v>8.4752631370918728E-3</v>
      </c>
      <c r="S15" s="3">
        <v>0.2227751894995359</v>
      </c>
      <c r="T15" s="2"/>
      <c r="U15" s="2">
        <v>42</v>
      </c>
      <c r="V15" s="2">
        <v>-1</v>
      </c>
      <c r="W15" s="2"/>
      <c r="X15" s="2">
        <v>100</v>
      </c>
      <c r="Y15" s="2">
        <v>92</v>
      </c>
      <c r="Z15" s="2">
        <v>-1</v>
      </c>
    </row>
    <row r="16" spans="1:26" hidden="1" x14ac:dyDescent="0.3">
      <c r="A16" s="1" t="s">
        <v>24</v>
      </c>
      <c r="B16" s="2">
        <v>22</v>
      </c>
      <c r="C16" s="3">
        <v>1.111712807889025</v>
      </c>
      <c r="D16" s="3">
        <v>0.18122644299723309</v>
      </c>
      <c r="E16" s="3">
        <v>0.96522679077040052</v>
      </c>
      <c r="F16" s="3">
        <v>3.2781988457498321</v>
      </c>
      <c r="G16" s="3">
        <f>+Frame0[[#This Row],[wmape_test]]-Frame0[[#This Row],[wmape_train]]</f>
        <v>3.0969724027525989</v>
      </c>
      <c r="H16" s="3">
        <v>0.99948042999357867</v>
      </c>
      <c r="I16" s="3">
        <v>0.9484328809475786</v>
      </c>
      <c r="J16" s="3">
        <v>0.85364608727393188</v>
      </c>
      <c r="K16" s="3">
        <f>+Frame0[[#This Row],[r2_train]]-Frame0[[#This Row],[r2_test]]</f>
        <v>0.14583434271964679</v>
      </c>
      <c r="L16" s="3">
        <v>16.710533618926998</v>
      </c>
      <c r="M16" s="2">
        <v>600</v>
      </c>
      <c r="N16" s="2">
        <v>14</v>
      </c>
      <c r="O16" s="3">
        <v>0.05</v>
      </c>
      <c r="P16" s="3">
        <v>0.85985147463993539</v>
      </c>
      <c r="Q16" s="3">
        <v>0.93620890008077728</v>
      </c>
      <c r="R16" s="3">
        <v>3.7787169266369693E-2</v>
      </c>
      <c r="S16" s="3">
        <v>1.434143755519127</v>
      </c>
      <c r="T16" s="2"/>
      <c r="U16" s="2">
        <v>42</v>
      </c>
      <c r="V16" s="2">
        <v>-1</v>
      </c>
      <c r="W16" s="2"/>
      <c r="X16" s="2">
        <v>100</v>
      </c>
      <c r="Y16" s="2">
        <v>38</v>
      </c>
      <c r="Z16" s="2">
        <v>-1</v>
      </c>
    </row>
    <row r="17" spans="1:26" x14ac:dyDescent="0.3">
      <c r="A17" s="1" t="s">
        <v>25</v>
      </c>
      <c r="B17" s="2">
        <v>16</v>
      </c>
      <c r="C17" s="3">
        <v>1.206126504154662</v>
      </c>
      <c r="D17" s="3">
        <v>0.2467699950280785</v>
      </c>
      <c r="E17" s="3">
        <v>1.177297954896761</v>
      </c>
      <c r="F17" s="3">
        <v>3.4325745375019552</v>
      </c>
      <c r="G17" s="3">
        <f>+Frame0[[#This Row],[wmape_test]]-Frame0[[#This Row],[wmape_train]]</f>
        <v>3.1858045424738766</v>
      </c>
      <c r="H17" s="3">
        <v>0.99922359342500811</v>
      </c>
      <c r="I17" s="3">
        <v>0.94867070710950663</v>
      </c>
      <c r="J17" s="3">
        <v>0.85672277600249325</v>
      </c>
      <c r="K17" s="3">
        <f>+Frame0[[#This Row],[r2_train]]-Frame0[[#This Row],[r2_test]]</f>
        <v>0.14250081742251486</v>
      </c>
      <c r="L17" s="3">
        <v>22.39593076705933</v>
      </c>
      <c r="M17" s="2">
        <v>402</v>
      </c>
      <c r="N17" s="2">
        <v>8</v>
      </c>
      <c r="O17" s="3">
        <v>0.1</v>
      </c>
      <c r="P17" s="3">
        <v>0.8</v>
      </c>
      <c r="Q17" s="3">
        <v>0.74732301914945809</v>
      </c>
      <c r="R17" s="3">
        <v>9.2773143537025857E-2</v>
      </c>
      <c r="S17" s="3">
        <v>2.461756608890592</v>
      </c>
      <c r="T17" s="2">
        <v>15</v>
      </c>
      <c r="U17" s="2">
        <v>42</v>
      </c>
      <c r="V17" s="2">
        <v>-1</v>
      </c>
      <c r="W17" s="2">
        <v>20</v>
      </c>
      <c r="X17" s="2"/>
      <c r="Y17" s="2"/>
      <c r="Z17" s="2"/>
    </row>
    <row r="18" spans="1:26" hidden="1" x14ac:dyDescent="0.3">
      <c r="A18" s="1" t="s">
        <v>24</v>
      </c>
      <c r="B18" s="2">
        <v>18</v>
      </c>
      <c r="C18" s="3">
        <v>1.1194514387216741</v>
      </c>
      <c r="D18" s="3">
        <v>0.2207081239795283</v>
      </c>
      <c r="E18" s="3">
        <v>0.98084386213036701</v>
      </c>
      <c r="F18" s="3">
        <v>3.3003974198977741</v>
      </c>
      <c r="G18" s="3">
        <f>+Frame0[[#This Row],[wmape_test]]-Frame0[[#This Row],[wmape_train]]</f>
        <v>3.079689295918246</v>
      </c>
      <c r="H18" s="3">
        <v>0.99929749097596421</v>
      </c>
      <c r="I18" s="3">
        <v>0.94714669153986453</v>
      </c>
      <c r="J18" s="3">
        <v>0.85134238034463494</v>
      </c>
      <c r="K18" s="3">
        <f>+Frame0[[#This Row],[r2_train]]-Frame0[[#This Row],[r2_test]]</f>
        <v>0.14795511063132927</v>
      </c>
      <c r="L18" s="3">
        <v>14.133742094039921</v>
      </c>
      <c r="M18" s="2">
        <v>400</v>
      </c>
      <c r="N18" s="2">
        <v>14</v>
      </c>
      <c r="O18" s="3">
        <v>0.05</v>
      </c>
      <c r="P18" s="3">
        <v>0.92409518440696203</v>
      </c>
      <c r="Q18" s="3">
        <v>0.93304615129194923</v>
      </c>
      <c r="R18" s="3">
        <v>1.803429318668253E-2</v>
      </c>
      <c r="S18" s="3">
        <v>4.2611036404258007E-2</v>
      </c>
      <c r="T18" s="2"/>
      <c r="U18" s="2">
        <v>42</v>
      </c>
      <c r="V18" s="2">
        <v>-1</v>
      </c>
      <c r="W18" s="2"/>
      <c r="X18" s="2">
        <v>100</v>
      </c>
      <c r="Y18" s="2">
        <v>36</v>
      </c>
      <c r="Z18" s="2">
        <v>-1</v>
      </c>
    </row>
    <row r="19" spans="1:26" x14ac:dyDescent="0.3">
      <c r="A19" s="1" t="s">
        <v>25</v>
      </c>
      <c r="B19" s="2">
        <v>17</v>
      </c>
      <c r="C19" s="3">
        <v>1.2399381122783339</v>
      </c>
      <c r="D19" s="3">
        <v>0.2671123481187056</v>
      </c>
      <c r="E19" s="3">
        <v>1.1185492069297709</v>
      </c>
      <c r="F19" s="3">
        <v>3.437579007818524</v>
      </c>
      <c r="G19" s="3">
        <f>+Frame0[[#This Row],[wmape_test]]-Frame0[[#This Row],[wmape_train]]</f>
        <v>3.1704666596998186</v>
      </c>
      <c r="H19" s="3">
        <v>0.99910190314073877</v>
      </c>
      <c r="I19" s="3">
        <v>0.94795907257607925</v>
      </c>
      <c r="J19" s="3">
        <v>0.85393376082400219</v>
      </c>
      <c r="K19" s="3">
        <f>+Frame0[[#This Row],[r2_train]]-Frame0[[#This Row],[r2_test]]</f>
        <v>0.14516814231673658</v>
      </c>
      <c r="L19" s="3">
        <v>25.310055494308472</v>
      </c>
      <c r="M19" s="2">
        <v>409</v>
      </c>
      <c r="N19" s="2">
        <v>8</v>
      </c>
      <c r="O19" s="3">
        <v>0.05</v>
      </c>
      <c r="P19" s="3">
        <v>0.8</v>
      </c>
      <c r="Q19" s="3">
        <v>0.75196001320774175</v>
      </c>
      <c r="R19" s="3">
        <v>8.2408485826631073E-2</v>
      </c>
      <c r="S19" s="3">
        <v>2.6884712961830299</v>
      </c>
      <c r="T19" s="2">
        <v>17</v>
      </c>
      <c r="U19" s="2">
        <v>42</v>
      </c>
      <c r="V19" s="2">
        <v>-1</v>
      </c>
      <c r="W19" s="2">
        <v>20</v>
      </c>
      <c r="X19" s="2"/>
      <c r="Y19" s="2"/>
      <c r="Z19" s="2"/>
    </row>
    <row r="20" spans="1:26" hidden="1" x14ac:dyDescent="0.3">
      <c r="A20" s="1" t="s">
        <v>24</v>
      </c>
      <c r="B20" s="2">
        <v>20</v>
      </c>
      <c r="C20" s="3">
        <v>1.157955474042943</v>
      </c>
      <c r="D20" s="3">
        <v>0.20836310792589791</v>
      </c>
      <c r="E20" s="3">
        <v>1.0425485419488161</v>
      </c>
      <c r="F20" s="3">
        <v>3.3079016061556121</v>
      </c>
      <c r="G20" s="3">
        <f>+Frame0[[#This Row],[wmape_test]]-Frame0[[#This Row],[wmape_train]]</f>
        <v>3.0995384982297143</v>
      </c>
      <c r="H20" s="3">
        <v>0.99933270185927636</v>
      </c>
      <c r="I20" s="3">
        <v>0.9469421008082427</v>
      </c>
      <c r="J20" s="3">
        <v>0.85186434240455133</v>
      </c>
      <c r="K20" s="3">
        <f>+Frame0[[#This Row],[r2_train]]-Frame0[[#This Row],[r2_test]]</f>
        <v>0.14746835945472503</v>
      </c>
      <c r="L20" s="3">
        <v>23.74719929695129</v>
      </c>
      <c r="M20" s="2">
        <v>600</v>
      </c>
      <c r="N20" s="2">
        <v>14</v>
      </c>
      <c r="O20" s="3">
        <v>0.05</v>
      </c>
      <c r="P20" s="3">
        <v>0.83281082208854029</v>
      </c>
      <c r="Q20" s="3">
        <v>0.85701749071804101</v>
      </c>
      <c r="R20" s="3">
        <v>0.1316073158452743</v>
      </c>
      <c r="S20" s="3">
        <v>9.7608769333328471</v>
      </c>
      <c r="T20" s="2"/>
      <c r="U20" s="2">
        <v>42</v>
      </c>
      <c r="V20" s="2">
        <v>-1</v>
      </c>
      <c r="W20" s="2"/>
      <c r="X20" s="2">
        <v>100</v>
      </c>
      <c r="Y20" s="2">
        <v>37</v>
      </c>
      <c r="Z20" s="2">
        <v>-1</v>
      </c>
    </row>
    <row r="21" spans="1:26" hidden="1" x14ac:dyDescent="0.3">
      <c r="A21" s="1" t="s">
        <v>24</v>
      </c>
      <c r="B21" s="2">
        <v>21</v>
      </c>
      <c r="C21" s="3">
        <v>1.1577556843896679</v>
      </c>
      <c r="D21" s="3">
        <v>0.2056013503490785</v>
      </c>
      <c r="E21" s="3">
        <v>1.0281629038432569</v>
      </c>
      <c r="F21" s="3">
        <v>3.31905729511189</v>
      </c>
      <c r="G21" s="3">
        <f>+Frame0[[#This Row],[wmape_test]]-Frame0[[#This Row],[wmape_train]]</f>
        <v>3.1134559447628116</v>
      </c>
      <c r="H21" s="3">
        <v>0.9993380782395066</v>
      </c>
      <c r="I21" s="3">
        <v>0.94744547488886177</v>
      </c>
      <c r="J21" s="3">
        <v>0.85184723393861161</v>
      </c>
      <c r="K21" s="3">
        <f>+Frame0[[#This Row],[r2_train]]-Frame0[[#This Row],[r2_test]]</f>
        <v>0.14749084430089499</v>
      </c>
      <c r="L21" s="3">
        <v>22.08962345123291</v>
      </c>
      <c r="M21" s="2">
        <v>600</v>
      </c>
      <c r="N21" s="2">
        <v>14</v>
      </c>
      <c r="O21" s="3">
        <v>0.05</v>
      </c>
      <c r="P21" s="3">
        <v>0.82819234614010995</v>
      </c>
      <c r="Q21" s="3">
        <v>0.86770246550829988</v>
      </c>
      <c r="R21" s="3">
        <v>0.1476901506853015</v>
      </c>
      <c r="S21" s="3">
        <v>9.3051659242476834</v>
      </c>
      <c r="T21" s="2"/>
      <c r="U21" s="2">
        <v>42</v>
      </c>
      <c r="V21" s="2">
        <v>-1</v>
      </c>
      <c r="W21" s="2"/>
      <c r="X21" s="2">
        <v>100</v>
      </c>
      <c r="Y21" s="2">
        <v>37</v>
      </c>
      <c r="Z21" s="2">
        <v>-1</v>
      </c>
    </row>
    <row r="22" spans="1:26" hidden="1" x14ac:dyDescent="0.3">
      <c r="A22" s="1" t="s">
        <v>24</v>
      </c>
      <c r="B22" s="2">
        <v>37</v>
      </c>
      <c r="C22" s="3">
        <v>1.34466744103236</v>
      </c>
      <c r="D22" s="3">
        <v>0.29880791357050979</v>
      </c>
      <c r="E22" s="3">
        <v>1.062815926332388</v>
      </c>
      <c r="F22" s="3">
        <v>3.3510757859648121</v>
      </c>
      <c r="G22" s="3">
        <f>+Frame0[[#This Row],[wmape_test]]-Frame0[[#This Row],[wmape_train]]</f>
        <v>3.0522678723943022</v>
      </c>
      <c r="H22" s="3">
        <v>0.99885579606041286</v>
      </c>
      <c r="I22" s="3">
        <v>0.94522992364197422</v>
      </c>
      <c r="J22" s="3">
        <v>0.85087580267224261</v>
      </c>
      <c r="K22" s="3">
        <f>+Frame0[[#This Row],[r2_train]]-Frame0[[#This Row],[r2_test]]</f>
        <v>0.14797999338817025</v>
      </c>
      <c r="L22" s="3">
        <v>10.716616153717039</v>
      </c>
      <c r="M22" s="2">
        <v>600</v>
      </c>
      <c r="N22" s="2">
        <v>14</v>
      </c>
      <c r="O22" s="3">
        <v>0.1</v>
      </c>
      <c r="P22" s="3">
        <v>0.73066286216002818</v>
      </c>
      <c r="Q22" s="3">
        <v>0.9564585930477878</v>
      </c>
      <c r="R22" s="3">
        <v>3.8930714485718781E-3</v>
      </c>
      <c r="S22" s="3">
        <v>2.6420166891990782E-2</v>
      </c>
      <c r="T22" s="2"/>
      <c r="U22" s="2">
        <v>42</v>
      </c>
      <c r="V22" s="2">
        <v>-1</v>
      </c>
      <c r="W22" s="2"/>
      <c r="X22" s="2">
        <v>20</v>
      </c>
      <c r="Y22" s="2">
        <v>91</v>
      </c>
      <c r="Z22" s="2">
        <v>-1</v>
      </c>
    </row>
    <row r="23" spans="1:26" hidden="1" x14ac:dyDescent="0.3">
      <c r="A23" s="1" t="s">
        <v>24</v>
      </c>
      <c r="B23" s="2">
        <v>11</v>
      </c>
      <c r="C23" s="3">
        <v>1.171558958579636</v>
      </c>
      <c r="D23" s="3">
        <v>0.23521069731497479</v>
      </c>
      <c r="E23" s="3">
        <v>1.0021495923731569</v>
      </c>
      <c r="F23" s="3">
        <v>3.3563405325467262</v>
      </c>
      <c r="G23" s="3">
        <f>+Frame0[[#This Row],[wmape_test]]-Frame0[[#This Row],[wmape_train]]</f>
        <v>3.1211298352317511</v>
      </c>
      <c r="H23" s="3">
        <v>0.9992706649813472</v>
      </c>
      <c r="I23" s="3">
        <v>0.94902753640022375</v>
      </c>
      <c r="J23" s="3">
        <v>0.85252761450501824</v>
      </c>
      <c r="K23" s="3">
        <f>+Frame0[[#This Row],[r2_train]]-Frame0[[#This Row],[r2_test]]</f>
        <v>0.14674305047632896</v>
      </c>
      <c r="L23" s="3">
        <v>12.33873844146729</v>
      </c>
      <c r="M23" s="2">
        <v>400</v>
      </c>
      <c r="N23" s="2">
        <v>8</v>
      </c>
      <c r="O23" s="3">
        <v>0.05</v>
      </c>
      <c r="P23" s="3">
        <v>0.61737715001057392</v>
      </c>
      <c r="Q23" s="3">
        <v>0.84509790184342048</v>
      </c>
      <c r="R23" s="3">
        <v>1.1269404363666369E-3</v>
      </c>
      <c r="S23" s="3">
        <v>1.00312706627423E-3</v>
      </c>
      <c r="T23" s="2"/>
      <c r="U23" s="2">
        <v>42</v>
      </c>
      <c r="V23" s="2">
        <v>-1</v>
      </c>
      <c r="W23" s="2"/>
      <c r="X23" s="2">
        <v>100</v>
      </c>
      <c r="Y23" s="2">
        <v>25</v>
      </c>
      <c r="Z23" s="2">
        <v>-1</v>
      </c>
    </row>
    <row r="24" spans="1:26" hidden="1" x14ac:dyDescent="0.3">
      <c r="A24" s="1" t="s">
        <v>24</v>
      </c>
      <c r="B24" s="2">
        <v>13</v>
      </c>
      <c r="C24" s="3">
        <v>1.207738579669426</v>
      </c>
      <c r="D24" s="3">
        <v>0.24608640634728851</v>
      </c>
      <c r="E24" s="3">
        <v>1.040144540663096</v>
      </c>
      <c r="F24" s="3">
        <v>3.3747422758244081</v>
      </c>
      <c r="G24" s="3">
        <f>+Frame0[[#This Row],[wmape_test]]-Frame0[[#This Row],[wmape_train]]</f>
        <v>3.1286558694771198</v>
      </c>
      <c r="H24" s="3">
        <v>0.99921430477573736</v>
      </c>
      <c r="I24" s="3">
        <v>0.95029931175020765</v>
      </c>
      <c r="J24" s="3">
        <v>0.85476865033500415</v>
      </c>
      <c r="K24" s="3">
        <f>+Frame0[[#This Row],[r2_train]]-Frame0[[#This Row],[r2_test]]</f>
        <v>0.14444565444073321</v>
      </c>
      <c r="L24" s="3">
        <v>14.46022152900696</v>
      </c>
      <c r="M24" s="2">
        <v>400</v>
      </c>
      <c r="N24" s="2">
        <v>8</v>
      </c>
      <c r="O24" s="3">
        <v>0.05</v>
      </c>
      <c r="P24" s="3">
        <v>0.88130610131168385</v>
      </c>
      <c r="Q24" s="3">
        <v>0.82852251306214464</v>
      </c>
      <c r="R24" s="3">
        <v>8.3500323842700102E-3</v>
      </c>
      <c r="S24" s="3">
        <v>2.4195766295620091E-2</v>
      </c>
      <c r="T24" s="2"/>
      <c r="U24" s="2">
        <v>42</v>
      </c>
      <c r="V24" s="2">
        <v>-1</v>
      </c>
      <c r="W24" s="2"/>
      <c r="X24" s="2">
        <v>100</v>
      </c>
      <c r="Y24" s="2">
        <v>28</v>
      </c>
      <c r="Z24" s="2">
        <v>-1</v>
      </c>
    </row>
    <row r="25" spans="1:26" x14ac:dyDescent="0.3">
      <c r="A25" s="1" t="s">
        <v>25</v>
      </c>
      <c r="B25" s="2">
        <v>15</v>
      </c>
      <c r="C25" s="3">
        <v>1.2988138112044061</v>
      </c>
      <c r="D25" s="3">
        <v>0.24184900542013371</v>
      </c>
      <c r="E25" s="3">
        <v>1.24042518428389</v>
      </c>
      <c r="F25" s="3">
        <v>3.469512665449872</v>
      </c>
      <c r="G25" s="3">
        <f>+Frame0[[#This Row],[wmape_test]]-Frame0[[#This Row],[wmape_train]]</f>
        <v>3.2276636600297381</v>
      </c>
      <c r="H25" s="3">
        <v>0.99928819128797286</v>
      </c>
      <c r="I25" s="3">
        <v>0.94924642755186794</v>
      </c>
      <c r="J25" s="4">
        <v>0.85742950760194958</v>
      </c>
      <c r="K25" s="3">
        <f>+Frame0[[#This Row],[r2_train]]-Frame0[[#This Row],[r2_test]]</f>
        <v>0.14185868368602328</v>
      </c>
      <c r="L25" s="3">
        <v>30.732265949249271</v>
      </c>
      <c r="M25" s="2">
        <v>456</v>
      </c>
      <c r="N25" s="2">
        <v>8</v>
      </c>
      <c r="O25" s="3">
        <v>0.1</v>
      </c>
      <c r="P25" s="3">
        <v>0.6</v>
      </c>
      <c r="Q25" s="3">
        <v>0.66578040039438502</v>
      </c>
      <c r="R25" s="3">
        <v>4.3487943088085089E-2</v>
      </c>
      <c r="S25" s="3">
        <v>1.088954109655955</v>
      </c>
      <c r="T25" s="2">
        <v>15</v>
      </c>
      <c r="U25" s="2">
        <v>42</v>
      </c>
      <c r="V25" s="2">
        <v>-1</v>
      </c>
      <c r="W25" s="2">
        <v>20</v>
      </c>
      <c r="X25" s="2"/>
      <c r="Y25" s="2"/>
      <c r="Z25" s="2"/>
    </row>
    <row r="26" spans="1:26" hidden="1" x14ac:dyDescent="0.3">
      <c r="A26" s="1" t="s">
        <v>24</v>
      </c>
      <c r="B26" s="2">
        <v>12</v>
      </c>
      <c r="C26" s="3">
        <v>1.2283998253387229</v>
      </c>
      <c r="D26" s="3">
        <v>0.24412128623949331</v>
      </c>
      <c r="E26" s="3">
        <v>1.035802920127072</v>
      </c>
      <c r="F26" s="3">
        <v>3.393290596192303</v>
      </c>
      <c r="G26" s="3">
        <f>+Frame0[[#This Row],[wmape_test]]-Frame0[[#This Row],[wmape_train]]</f>
        <v>3.1491693099528097</v>
      </c>
      <c r="H26" s="3">
        <v>0.99922861866031487</v>
      </c>
      <c r="I26" s="3">
        <v>0.95150880079731437</v>
      </c>
      <c r="J26" s="3">
        <v>0.85543201728615625</v>
      </c>
      <c r="K26" s="3">
        <f>+Frame0[[#This Row],[r2_train]]-Frame0[[#This Row],[r2_test]]</f>
        <v>0.14379660137415862</v>
      </c>
      <c r="L26" s="3">
        <v>13.45670318603516</v>
      </c>
      <c r="M26" s="2">
        <v>400</v>
      </c>
      <c r="N26" s="2">
        <v>8</v>
      </c>
      <c r="O26" s="3">
        <v>0.05</v>
      </c>
      <c r="P26" s="3">
        <v>0.60680236432119561</v>
      </c>
      <c r="Q26" s="3">
        <v>0.81289326157000863</v>
      </c>
      <c r="R26" s="3">
        <v>1.062725338713242E-3</v>
      </c>
      <c r="S26" s="3">
        <v>1.264776782495227E-2</v>
      </c>
      <c r="T26" s="2"/>
      <c r="U26" s="2">
        <v>42</v>
      </c>
      <c r="V26" s="2">
        <v>-1</v>
      </c>
      <c r="W26" s="2"/>
      <c r="X26" s="2">
        <v>100</v>
      </c>
      <c r="Y26" s="2">
        <v>26</v>
      </c>
      <c r="Z26" s="2">
        <v>-1</v>
      </c>
    </row>
    <row r="27" spans="1:26" x14ac:dyDescent="0.3">
      <c r="A27" s="1" t="s">
        <v>25</v>
      </c>
      <c r="B27" s="2">
        <v>21</v>
      </c>
      <c r="C27" s="3">
        <v>1.226248942371722</v>
      </c>
      <c r="D27" s="3">
        <v>0.25769880422429942</v>
      </c>
      <c r="E27" s="3">
        <v>1.117467981399098</v>
      </c>
      <c r="F27" s="3">
        <v>3.4846949119562329</v>
      </c>
      <c r="G27" s="3">
        <f>+Frame0[[#This Row],[wmape_test]]-Frame0[[#This Row],[wmape_train]]</f>
        <v>3.2269961077319333</v>
      </c>
      <c r="H27" s="3">
        <v>0.99920227022386032</v>
      </c>
      <c r="I27" s="3">
        <v>0.94746369477062631</v>
      </c>
      <c r="J27" s="3">
        <v>0.85126644291862652</v>
      </c>
      <c r="K27" s="3">
        <f>+Frame0[[#This Row],[r2_train]]-Frame0[[#This Row],[r2_test]]</f>
        <v>0.1479358273052338</v>
      </c>
      <c r="L27" s="3">
        <v>24.02777099609375</v>
      </c>
      <c r="M27" s="2">
        <v>409</v>
      </c>
      <c r="N27" s="2">
        <v>8</v>
      </c>
      <c r="O27" s="3">
        <v>0.05</v>
      </c>
      <c r="P27" s="3">
        <v>0.8</v>
      </c>
      <c r="Q27" s="3">
        <v>0.74722753322491298</v>
      </c>
      <c r="R27" s="3">
        <v>1.8119628921124131E-2</v>
      </c>
      <c r="S27" s="3">
        <v>0.41345321604503338</v>
      </c>
      <c r="T27" s="2">
        <v>14</v>
      </c>
      <c r="U27" s="2">
        <v>42</v>
      </c>
      <c r="V27" s="2">
        <v>-1</v>
      </c>
      <c r="W27" s="2">
        <v>20</v>
      </c>
      <c r="X27" s="2"/>
      <c r="Y27" s="2"/>
      <c r="Z27" s="2"/>
    </row>
    <row r="28" spans="1:26" x14ac:dyDescent="0.3">
      <c r="A28" s="1" t="s">
        <v>25</v>
      </c>
      <c r="B28" s="2">
        <v>20</v>
      </c>
      <c r="C28" s="3">
        <v>1.2718050163596231</v>
      </c>
      <c r="D28" s="3">
        <v>0.27635633734345549</v>
      </c>
      <c r="E28" s="3">
        <v>1.1273733657538261</v>
      </c>
      <c r="F28" s="3">
        <v>3.4847645388247441</v>
      </c>
      <c r="G28" s="3">
        <f>+Frame0[[#This Row],[wmape_test]]-Frame0[[#This Row],[wmape_train]]</f>
        <v>3.2084082014812885</v>
      </c>
      <c r="H28" s="3">
        <v>0.99903093646266283</v>
      </c>
      <c r="I28" s="3">
        <v>0.94844437372501356</v>
      </c>
      <c r="J28" s="3">
        <v>0.85357070580191796</v>
      </c>
      <c r="K28" s="3">
        <f>+Frame0[[#This Row],[r2_train]]-Frame0[[#This Row],[r2_test]]</f>
        <v>0.14546023066074487</v>
      </c>
      <c r="L28" s="3">
        <v>24.261605978012081</v>
      </c>
      <c r="M28" s="2">
        <v>396</v>
      </c>
      <c r="N28" s="2">
        <v>8</v>
      </c>
      <c r="O28" s="3">
        <v>0.05</v>
      </c>
      <c r="P28" s="3">
        <v>0.8</v>
      </c>
      <c r="Q28" s="3">
        <v>0.75565876003633081</v>
      </c>
      <c r="R28" s="3">
        <v>0.1459066159089929</v>
      </c>
      <c r="S28" s="3">
        <v>2.4150587702080251</v>
      </c>
      <c r="T28" s="2">
        <v>13</v>
      </c>
      <c r="U28" s="2">
        <v>42</v>
      </c>
      <c r="V28" s="2">
        <v>-1</v>
      </c>
      <c r="W28" s="2">
        <v>20</v>
      </c>
      <c r="X28" s="2"/>
      <c r="Y28" s="2"/>
      <c r="Z28" s="2"/>
    </row>
    <row r="29" spans="1:26" x14ac:dyDescent="0.3">
      <c r="A29" s="1" t="s">
        <v>25</v>
      </c>
      <c r="B29" s="2">
        <v>22</v>
      </c>
      <c r="C29" s="3">
        <v>1.201213019556437</v>
      </c>
      <c r="D29" s="3">
        <v>0.2763378397993097</v>
      </c>
      <c r="E29" s="3">
        <v>1.1504865854924471</v>
      </c>
      <c r="F29" s="3">
        <v>3.5152559036785629</v>
      </c>
      <c r="G29" s="3">
        <f>+Frame0[[#This Row],[wmape_test]]-Frame0[[#This Row],[wmape_train]]</f>
        <v>3.238918063879253</v>
      </c>
      <c r="H29" s="3">
        <v>0.99910836930871738</v>
      </c>
      <c r="I29" s="3">
        <v>0.94739793952800744</v>
      </c>
      <c r="J29" s="3">
        <v>0.85097279453846431</v>
      </c>
      <c r="K29" s="3">
        <f>+Frame0[[#This Row],[r2_train]]-Frame0[[#This Row],[r2_test]]</f>
        <v>0.14813557477025308</v>
      </c>
      <c r="L29" s="3">
        <v>22.88591384887695</v>
      </c>
      <c r="M29" s="2">
        <v>410</v>
      </c>
      <c r="N29" s="2">
        <v>8</v>
      </c>
      <c r="O29" s="3">
        <v>0.05</v>
      </c>
      <c r="P29" s="3">
        <v>0.8</v>
      </c>
      <c r="Q29" s="3">
        <v>0.75898892375505866</v>
      </c>
      <c r="R29" s="3">
        <v>8.4228213018329237E-3</v>
      </c>
      <c r="S29" s="3">
        <v>0.43800323202204638</v>
      </c>
      <c r="T29" s="2">
        <v>13</v>
      </c>
      <c r="U29" s="2">
        <v>42</v>
      </c>
      <c r="V29" s="2">
        <v>-1</v>
      </c>
      <c r="W29" s="2">
        <v>20</v>
      </c>
      <c r="X29" s="2"/>
      <c r="Y29" s="2"/>
      <c r="Z29" s="2"/>
    </row>
    <row r="30" spans="1:26" x14ac:dyDescent="0.3">
      <c r="A30" s="1" t="s">
        <v>25</v>
      </c>
      <c r="B30" s="2">
        <v>23</v>
      </c>
      <c r="C30" s="3">
        <v>1.220870312604047</v>
      </c>
      <c r="D30" s="3">
        <v>0.29071259379238468</v>
      </c>
      <c r="E30" s="3">
        <v>1.159841563764139</v>
      </c>
      <c r="F30" s="3">
        <v>3.5280618142812101</v>
      </c>
      <c r="G30" s="3">
        <f>+Frame0[[#This Row],[wmape_test]]-Frame0[[#This Row],[wmape_train]]</f>
        <v>3.2373492204888255</v>
      </c>
      <c r="H30" s="3">
        <v>0.99901140507518815</v>
      </c>
      <c r="I30" s="3">
        <v>0.94679223204077956</v>
      </c>
      <c r="J30" s="3">
        <v>0.84971956833138418</v>
      </c>
      <c r="K30" s="3">
        <f>+Frame0[[#This Row],[r2_train]]-Frame0[[#This Row],[r2_test]]</f>
        <v>0.14929183674380397</v>
      </c>
      <c r="L30" s="3">
        <v>18.561844348907471</v>
      </c>
      <c r="M30" s="2">
        <v>381</v>
      </c>
      <c r="N30" s="2">
        <v>8</v>
      </c>
      <c r="O30" s="3">
        <v>0.05</v>
      </c>
      <c r="P30" s="3">
        <v>0.8</v>
      </c>
      <c r="Q30" s="3">
        <v>0.79520992522529155</v>
      </c>
      <c r="R30" s="3">
        <v>6.1845723510746166E-3</v>
      </c>
      <c r="S30" s="3">
        <v>0.37575465987002282</v>
      </c>
      <c r="T30" s="2">
        <v>13</v>
      </c>
      <c r="U30" s="2">
        <v>42</v>
      </c>
      <c r="V30" s="2">
        <v>-1</v>
      </c>
      <c r="W30" s="2">
        <v>20</v>
      </c>
      <c r="X30" s="2"/>
      <c r="Y30" s="2"/>
      <c r="Z30" s="2"/>
    </row>
    <row r="31" spans="1:26" x14ac:dyDescent="0.3">
      <c r="A31" s="1" t="s">
        <v>25</v>
      </c>
      <c r="B31" s="2">
        <v>13</v>
      </c>
      <c r="C31" s="3">
        <v>1.2454999441515271</v>
      </c>
      <c r="D31" s="3">
        <v>0.30933743877736131</v>
      </c>
      <c r="E31" s="3">
        <v>1.260067721018292</v>
      </c>
      <c r="F31" s="3">
        <v>3.5299122808192491</v>
      </c>
      <c r="G31" s="3">
        <f>+Frame0[[#This Row],[wmape_test]]-Frame0[[#This Row],[wmape_train]]</f>
        <v>3.2205748420418878</v>
      </c>
      <c r="H31" s="3">
        <v>0.9989000537000029</v>
      </c>
      <c r="I31" s="3">
        <v>0.94642397928207733</v>
      </c>
      <c r="J31" s="3">
        <v>0.85409503307466395</v>
      </c>
      <c r="K31" s="3">
        <f>+Frame0[[#This Row],[r2_train]]-Frame0[[#This Row],[r2_test]]</f>
        <v>0.14480502062533895</v>
      </c>
      <c r="L31" s="3">
        <v>17.41262865066528</v>
      </c>
      <c r="M31" s="2">
        <v>455</v>
      </c>
      <c r="N31" s="2">
        <v>8</v>
      </c>
      <c r="O31" s="3">
        <v>0.1</v>
      </c>
      <c r="P31" s="3">
        <v>0.8</v>
      </c>
      <c r="Q31" s="3">
        <v>0.67068737997184968</v>
      </c>
      <c r="R31" s="3">
        <v>2.1303369057014899E-2</v>
      </c>
      <c r="S31" s="3">
        <v>0.90595712807152029</v>
      </c>
      <c r="T31" s="2">
        <v>15</v>
      </c>
      <c r="U31" s="2">
        <v>42</v>
      </c>
      <c r="V31" s="2">
        <v>-1</v>
      </c>
      <c r="W31" s="2">
        <v>20</v>
      </c>
      <c r="X31" s="2"/>
      <c r="Y31" s="2"/>
      <c r="Z31" s="2"/>
    </row>
    <row r="32" spans="1:26" hidden="1" x14ac:dyDescent="0.3">
      <c r="A32" s="1" t="s">
        <v>24</v>
      </c>
      <c r="B32" s="2">
        <v>17</v>
      </c>
      <c r="C32" s="3">
        <v>1.1598281576897369</v>
      </c>
      <c r="D32" s="3">
        <v>0.2238942556863146</v>
      </c>
      <c r="E32" s="3">
        <v>1.0090976252340249</v>
      </c>
      <c r="F32" s="3">
        <v>3.403333826089983</v>
      </c>
      <c r="G32" s="3">
        <f>+Frame0[[#This Row],[wmape_test]]-Frame0[[#This Row],[wmape_train]]</f>
        <v>3.1794395704036686</v>
      </c>
      <c r="H32" s="3">
        <v>0.99926801272661214</v>
      </c>
      <c r="I32" s="3">
        <v>0.94926398365403208</v>
      </c>
      <c r="J32" s="3">
        <v>0.84959253796151568</v>
      </c>
      <c r="K32" s="3">
        <f>+Frame0[[#This Row],[r2_train]]-Frame0[[#This Row],[r2_test]]</f>
        <v>0.14967547476509646</v>
      </c>
      <c r="L32" s="3">
        <v>23.082961559295651</v>
      </c>
      <c r="M32" s="2">
        <v>400</v>
      </c>
      <c r="N32" s="2">
        <v>14</v>
      </c>
      <c r="O32" s="3">
        <v>0.05</v>
      </c>
      <c r="P32" s="3">
        <v>0.99562128370211844</v>
      </c>
      <c r="Q32" s="3">
        <v>0.99183037539007968</v>
      </c>
      <c r="R32" s="3">
        <v>8.9130016332541001E-2</v>
      </c>
      <c r="S32" s="3">
        <v>7.7365802820595677</v>
      </c>
      <c r="T32" s="2"/>
      <c r="U32" s="2">
        <v>42</v>
      </c>
      <c r="V32" s="2">
        <v>-1</v>
      </c>
      <c r="W32" s="2"/>
      <c r="X32" s="2">
        <v>100</v>
      </c>
      <c r="Y32" s="2">
        <v>18</v>
      </c>
      <c r="Z32" s="2">
        <v>-1</v>
      </c>
    </row>
    <row r="33" spans="1:26" x14ac:dyDescent="0.3">
      <c r="A33" s="1" t="s">
        <v>25</v>
      </c>
      <c r="B33" s="2">
        <v>14</v>
      </c>
      <c r="C33" s="3">
        <v>1.329408415722426</v>
      </c>
      <c r="D33" s="3">
        <v>0.38907836547098867</v>
      </c>
      <c r="E33" s="3">
        <v>1.1224348531302291</v>
      </c>
      <c r="F33" s="3">
        <v>3.5359349380456742</v>
      </c>
      <c r="G33" s="3">
        <f>+Frame0[[#This Row],[wmape_test]]-Frame0[[#This Row],[wmape_train]]</f>
        <v>3.1468565725746855</v>
      </c>
      <c r="H33" s="3">
        <v>0.99835757306082396</v>
      </c>
      <c r="I33" s="3">
        <v>0.95061090549904514</v>
      </c>
      <c r="J33" s="3">
        <v>0.85301596542434899</v>
      </c>
      <c r="K33" s="3">
        <f>+Frame0[[#This Row],[r2_train]]-Frame0[[#This Row],[r2_test]]</f>
        <v>0.14534160763647497</v>
      </c>
      <c r="L33" s="3">
        <v>19.874368190765381</v>
      </c>
      <c r="M33" s="2">
        <v>436</v>
      </c>
      <c r="N33" s="2">
        <v>5</v>
      </c>
      <c r="O33" s="3">
        <v>0.1</v>
      </c>
      <c r="P33" s="3">
        <v>0.8</v>
      </c>
      <c r="Q33" s="3">
        <v>0.6835021598305544</v>
      </c>
      <c r="R33" s="3">
        <v>3.537454355235941E-2</v>
      </c>
      <c r="S33" s="3">
        <v>1.117888535362402</v>
      </c>
      <c r="T33" s="2">
        <v>16</v>
      </c>
      <c r="U33" s="2">
        <v>42</v>
      </c>
      <c r="V33" s="2">
        <v>-1</v>
      </c>
      <c r="W33" s="2">
        <v>20</v>
      </c>
      <c r="X33" s="2"/>
      <c r="Y33" s="2"/>
      <c r="Z33" s="2"/>
    </row>
    <row r="34" spans="1:26" x14ac:dyDescent="0.3">
      <c r="A34" s="1" t="s">
        <v>25</v>
      </c>
      <c r="B34" s="2">
        <v>12</v>
      </c>
      <c r="C34" s="3">
        <v>1.263234035910747</v>
      </c>
      <c r="D34" s="3">
        <v>0.29702658940345572</v>
      </c>
      <c r="E34" s="3">
        <v>1.321768794897946</v>
      </c>
      <c r="F34" s="3">
        <v>3.5408229888398051</v>
      </c>
      <c r="G34" s="3">
        <f>+Frame0[[#This Row],[wmape_test]]-Frame0[[#This Row],[wmape_train]]</f>
        <v>3.2437963994363495</v>
      </c>
      <c r="H34" s="3">
        <v>0.9990049376056811</v>
      </c>
      <c r="I34" s="3">
        <v>0.94479061462068548</v>
      </c>
      <c r="J34" s="3">
        <v>0.85225541520480752</v>
      </c>
      <c r="K34" s="3">
        <f>+Frame0[[#This Row],[r2_train]]-Frame0[[#This Row],[r2_test]]</f>
        <v>0.14674952240087358</v>
      </c>
      <c r="L34" s="3">
        <v>15.84730696678162</v>
      </c>
      <c r="M34" s="2">
        <v>496</v>
      </c>
      <c r="N34" s="2">
        <v>8</v>
      </c>
      <c r="O34" s="3">
        <v>0.1</v>
      </c>
      <c r="P34" s="3">
        <v>0.8</v>
      </c>
      <c r="Q34" s="3">
        <v>0.61709453714470341</v>
      </c>
      <c r="R34" s="3">
        <v>1.226321594215304E-3</v>
      </c>
      <c r="S34" s="3">
        <v>1.2669938608480631</v>
      </c>
      <c r="T34" s="2">
        <v>15</v>
      </c>
      <c r="U34" s="2">
        <v>42</v>
      </c>
      <c r="V34" s="2">
        <v>-1</v>
      </c>
      <c r="W34" s="2">
        <v>20</v>
      </c>
      <c r="X34" s="2"/>
      <c r="Y34" s="2"/>
      <c r="Z34" s="2"/>
    </row>
    <row r="35" spans="1:26" x14ac:dyDescent="0.3">
      <c r="A35" s="1" t="s">
        <v>25</v>
      </c>
      <c r="B35" s="2">
        <v>9</v>
      </c>
      <c r="C35" s="3">
        <v>1.487375144245568</v>
      </c>
      <c r="D35" s="3">
        <v>0.39925685544611539</v>
      </c>
      <c r="E35" s="3">
        <v>1.3325096491338051</v>
      </c>
      <c r="F35" s="3">
        <v>3.540915407921978</v>
      </c>
      <c r="G35" s="3">
        <f>+Frame0[[#This Row],[wmape_test]]-Frame0[[#This Row],[wmape_train]]</f>
        <v>3.1416585524758625</v>
      </c>
      <c r="H35" s="3">
        <v>0.99777938273394795</v>
      </c>
      <c r="I35" s="3">
        <v>0.93879922018661544</v>
      </c>
      <c r="J35" s="3">
        <v>0.84465030862998214</v>
      </c>
      <c r="K35" s="3">
        <f>+Frame0[[#This Row],[r2_train]]-Frame0[[#This Row],[r2_test]]</f>
        <v>0.15312907410396581</v>
      </c>
      <c r="L35" s="3">
        <v>13.466412782669069</v>
      </c>
      <c r="M35" s="2">
        <v>240</v>
      </c>
      <c r="N35" s="2">
        <v>8</v>
      </c>
      <c r="O35" s="3">
        <v>0.05</v>
      </c>
      <c r="P35" s="3">
        <v>0.8</v>
      </c>
      <c r="Q35" s="3">
        <v>0.92280590721219335</v>
      </c>
      <c r="R35" s="3">
        <v>1.533599991333896</v>
      </c>
      <c r="S35" s="3">
        <v>8.339107895421681E-2</v>
      </c>
      <c r="T35" s="2">
        <v>10</v>
      </c>
      <c r="U35" s="2">
        <v>42</v>
      </c>
      <c r="V35" s="2">
        <v>-1</v>
      </c>
      <c r="W35" s="2">
        <v>20</v>
      </c>
      <c r="X35" s="2"/>
      <c r="Y35" s="2"/>
      <c r="Z35" s="2"/>
    </row>
    <row r="36" spans="1:26" hidden="1" x14ac:dyDescent="0.3">
      <c r="A36" s="1" t="s">
        <v>24</v>
      </c>
      <c r="B36" s="2">
        <v>0</v>
      </c>
      <c r="C36" s="3">
        <v>1.3228709864804931</v>
      </c>
      <c r="D36" s="3">
        <v>0.29412550339196342</v>
      </c>
      <c r="E36" s="3">
        <v>1.2355945922896441</v>
      </c>
      <c r="F36" s="3">
        <v>3.406580636659537</v>
      </c>
      <c r="G36" s="3">
        <f>+Frame0[[#This Row],[wmape_test]]-Frame0[[#This Row],[wmape_train]]</f>
        <v>3.1124551332675736</v>
      </c>
      <c r="H36" s="3">
        <v>0.99880761950762731</v>
      </c>
      <c r="I36" s="3">
        <v>0.94277433780264919</v>
      </c>
      <c r="J36" s="3">
        <v>0.85288766209584044</v>
      </c>
      <c r="K36" s="3">
        <f>+Frame0[[#This Row],[r2_train]]-Frame0[[#This Row],[r2_test]]</f>
        <v>0.14591995741178687</v>
      </c>
      <c r="L36" s="3">
        <v>19.721015930175781</v>
      </c>
      <c r="M36" s="2">
        <v>600</v>
      </c>
      <c r="N36" s="2">
        <v>8</v>
      </c>
      <c r="O36" s="3">
        <v>0.05</v>
      </c>
      <c r="P36" s="3">
        <v>0.74312357469928292</v>
      </c>
      <c r="Q36" s="3">
        <v>0.68601346969167731</v>
      </c>
      <c r="R36" s="3">
        <v>0.54276849487728562</v>
      </c>
      <c r="S36" s="3">
        <v>3.555582292306112</v>
      </c>
      <c r="T36" s="2"/>
      <c r="U36" s="2">
        <v>42</v>
      </c>
      <c r="V36" s="2">
        <v>-1</v>
      </c>
      <c r="W36" s="2"/>
      <c r="X36" s="2">
        <v>100</v>
      </c>
      <c r="Y36" s="2">
        <v>51</v>
      </c>
      <c r="Z36" s="2">
        <v>-1</v>
      </c>
    </row>
    <row r="37" spans="1:26" hidden="1" x14ac:dyDescent="0.3">
      <c r="A37" s="1" t="s">
        <v>24</v>
      </c>
      <c r="B37" s="2">
        <v>14</v>
      </c>
      <c r="C37" s="3">
        <v>1.2266262138193049</v>
      </c>
      <c r="D37" s="3">
        <v>0.2724120751873006</v>
      </c>
      <c r="E37" s="3">
        <v>1.0864657393164061</v>
      </c>
      <c r="F37" s="3">
        <v>3.4097055201657192</v>
      </c>
      <c r="G37" s="3">
        <f>+Frame0[[#This Row],[wmape_test]]-Frame0[[#This Row],[wmape_train]]</f>
        <v>3.1372934449784187</v>
      </c>
      <c r="H37" s="3">
        <v>0.99906404005004434</v>
      </c>
      <c r="I37" s="3">
        <v>0.95004861958084597</v>
      </c>
      <c r="J37" s="3">
        <v>0.85486408707341877</v>
      </c>
      <c r="K37" s="3">
        <f>+Frame0[[#This Row],[r2_train]]-Frame0[[#This Row],[r2_test]]</f>
        <v>0.14419995297662558</v>
      </c>
      <c r="L37" s="3">
        <v>13.07296395301819</v>
      </c>
      <c r="M37" s="2">
        <v>400</v>
      </c>
      <c r="N37" s="2">
        <v>8</v>
      </c>
      <c r="O37" s="3">
        <v>0.05</v>
      </c>
      <c r="P37" s="3">
        <v>0.82472181311696058</v>
      </c>
      <c r="Q37" s="3">
        <v>0.76116046077216948</v>
      </c>
      <c r="R37" s="3">
        <v>7.8876124363722905E-2</v>
      </c>
      <c r="S37" s="3">
        <v>2.098489962177433E-3</v>
      </c>
      <c r="T37" s="2"/>
      <c r="U37" s="2">
        <v>42</v>
      </c>
      <c r="V37" s="2">
        <v>-1</v>
      </c>
      <c r="W37" s="2"/>
      <c r="X37" s="2">
        <v>100</v>
      </c>
      <c r="Y37" s="2">
        <v>29</v>
      </c>
      <c r="Z37" s="2">
        <v>-1</v>
      </c>
    </row>
    <row r="38" spans="1:26" x14ac:dyDescent="0.3">
      <c r="A38" s="1" t="s">
        <v>25</v>
      </c>
      <c r="B38" s="2">
        <v>10</v>
      </c>
      <c r="C38" s="3">
        <v>1.3104189399278801</v>
      </c>
      <c r="D38" s="3">
        <v>0.2489675028329143</v>
      </c>
      <c r="E38" s="3">
        <v>1.2931533008164511</v>
      </c>
      <c r="F38" s="3">
        <v>3.554787336820787</v>
      </c>
      <c r="G38" s="3">
        <f>+Frame0[[#This Row],[wmape_test]]-Frame0[[#This Row],[wmape_train]]</f>
        <v>3.3058198339878726</v>
      </c>
      <c r="H38" s="3">
        <v>0.99930088984149945</v>
      </c>
      <c r="I38" s="3">
        <v>0.94274349266421453</v>
      </c>
      <c r="J38" s="3">
        <v>0.84424562906424971</v>
      </c>
      <c r="K38" s="3">
        <f>+Frame0[[#This Row],[r2_train]]-Frame0[[#This Row],[r2_test]]</f>
        <v>0.15505526077724974</v>
      </c>
      <c r="L38" s="3">
        <v>23.798300743103031</v>
      </c>
      <c r="M38" s="2">
        <v>497</v>
      </c>
      <c r="N38" s="2">
        <v>8</v>
      </c>
      <c r="O38" s="3">
        <v>0.1</v>
      </c>
      <c r="P38" s="3">
        <v>0.8</v>
      </c>
      <c r="Q38" s="3">
        <v>0.60801957938283591</v>
      </c>
      <c r="R38" s="3">
        <v>1.821006037203286E-3</v>
      </c>
      <c r="S38" s="3">
        <v>8.8488624586993314</v>
      </c>
      <c r="T38" s="2">
        <v>1</v>
      </c>
      <c r="U38" s="2">
        <v>42</v>
      </c>
      <c r="V38" s="2">
        <v>-1</v>
      </c>
      <c r="W38" s="2">
        <v>20</v>
      </c>
      <c r="X38" s="2"/>
      <c r="Y38" s="2"/>
      <c r="Z38" s="2"/>
    </row>
    <row r="39" spans="1:26" x14ac:dyDescent="0.3">
      <c r="A39" s="1" t="s">
        <v>25</v>
      </c>
      <c r="B39" s="2">
        <v>34</v>
      </c>
      <c r="C39" s="3">
        <v>1.3278603129804429</v>
      </c>
      <c r="D39" s="3">
        <v>0.34183725198369969</v>
      </c>
      <c r="E39" s="3">
        <v>1.2324763269712959</v>
      </c>
      <c r="F39" s="3">
        <v>3.5890505621514879</v>
      </c>
      <c r="G39" s="3">
        <f>+Frame0[[#This Row],[wmape_test]]-Frame0[[#This Row],[wmape_train]]</f>
        <v>3.2472133101677882</v>
      </c>
      <c r="H39" s="3">
        <v>0.99859379480630595</v>
      </c>
      <c r="I39" s="3">
        <v>0.94538187117168238</v>
      </c>
      <c r="J39" s="3">
        <v>0.84419309279228449</v>
      </c>
      <c r="K39" s="3">
        <f>+Frame0[[#This Row],[r2_train]]-Frame0[[#This Row],[r2_test]]</f>
        <v>0.15440070201402145</v>
      </c>
      <c r="L39" s="3">
        <v>11.888078689575201</v>
      </c>
      <c r="M39" s="2">
        <v>201</v>
      </c>
      <c r="N39" s="2">
        <v>8</v>
      </c>
      <c r="O39" s="3">
        <v>0.05</v>
      </c>
      <c r="P39" s="3">
        <v>1</v>
      </c>
      <c r="Q39" s="3">
        <v>0.95987731825161604</v>
      </c>
      <c r="R39" s="3">
        <v>0.1783989763325016</v>
      </c>
      <c r="S39" s="3">
        <v>2.3984079532948701E-3</v>
      </c>
      <c r="T39" s="2">
        <v>5</v>
      </c>
      <c r="U39" s="2">
        <v>42</v>
      </c>
      <c r="V39" s="2">
        <v>-1</v>
      </c>
      <c r="W39" s="2">
        <v>20</v>
      </c>
      <c r="X39" s="2"/>
      <c r="Y39" s="2"/>
      <c r="Z39" s="2"/>
    </row>
    <row r="40" spans="1:26" x14ac:dyDescent="0.3">
      <c r="A40" s="1" t="s">
        <v>25</v>
      </c>
      <c r="B40" s="2">
        <v>33</v>
      </c>
      <c r="C40" s="3">
        <v>1.2187786367292499</v>
      </c>
      <c r="D40" s="3">
        <v>0.28917913297839321</v>
      </c>
      <c r="E40" s="3">
        <v>1.175969800205801</v>
      </c>
      <c r="F40" s="3">
        <v>3.5902516893226011</v>
      </c>
      <c r="G40" s="3">
        <f>+Frame0[[#This Row],[wmape_test]]-Frame0[[#This Row],[wmape_train]]</f>
        <v>3.301072556344208</v>
      </c>
      <c r="H40" s="3">
        <v>0.99901866007661233</v>
      </c>
      <c r="I40" s="3">
        <v>0.94381870015639924</v>
      </c>
      <c r="J40" s="3">
        <v>0.84075845173883312</v>
      </c>
      <c r="K40" s="3">
        <f>+Frame0[[#This Row],[r2_train]]-Frame0[[#This Row],[r2_test]]</f>
        <v>0.15826020833777921</v>
      </c>
      <c r="L40" s="3">
        <v>15.11409378051758</v>
      </c>
      <c r="M40" s="2">
        <v>258</v>
      </c>
      <c r="N40" s="2">
        <v>8</v>
      </c>
      <c r="O40" s="3">
        <v>0.05</v>
      </c>
      <c r="P40" s="3">
        <v>1</v>
      </c>
      <c r="Q40" s="3">
        <v>0.98388905279182426</v>
      </c>
      <c r="R40" s="3">
        <v>4.7390943487095612E-2</v>
      </c>
      <c r="S40" s="3">
        <v>1.4551643870210681E-3</v>
      </c>
      <c r="T40" s="2">
        <v>4</v>
      </c>
      <c r="U40" s="2">
        <v>42</v>
      </c>
      <c r="V40" s="2">
        <v>-1</v>
      </c>
      <c r="W40" s="2">
        <v>20</v>
      </c>
      <c r="X40" s="2"/>
      <c r="Y40" s="2"/>
      <c r="Z40" s="2"/>
    </row>
    <row r="41" spans="1:26" x14ac:dyDescent="0.3">
      <c r="A41" s="1" t="s">
        <v>25</v>
      </c>
      <c r="B41" s="2">
        <v>36</v>
      </c>
      <c r="C41" s="3">
        <v>1.146016730316848</v>
      </c>
      <c r="D41" s="3">
        <v>0.32120630546326262</v>
      </c>
      <c r="E41" s="3">
        <v>1.205971696563088</v>
      </c>
      <c r="F41" s="3">
        <v>3.612017822264773</v>
      </c>
      <c r="G41" s="3">
        <f>+Frame0[[#This Row],[wmape_test]]-Frame0[[#This Row],[wmape_train]]</f>
        <v>3.2908115168015102</v>
      </c>
      <c r="H41" s="3">
        <v>0.99883199699378666</v>
      </c>
      <c r="I41" s="3">
        <v>0.9459869618199529</v>
      </c>
      <c r="J41" s="3">
        <v>0.84557644364741902</v>
      </c>
      <c r="K41" s="3">
        <f>+Frame0[[#This Row],[r2_train]]-Frame0[[#This Row],[r2_test]]</f>
        <v>0.15325555334636765</v>
      </c>
      <c r="L41" s="3">
        <v>13.44148683547974</v>
      </c>
      <c r="M41" s="2">
        <v>352</v>
      </c>
      <c r="N41" s="2">
        <v>8</v>
      </c>
      <c r="O41" s="3">
        <v>0.05</v>
      </c>
      <c r="P41" s="3">
        <v>1</v>
      </c>
      <c r="Q41" s="3">
        <v>0.95492474507315006</v>
      </c>
      <c r="R41" s="3">
        <v>2.116995713780594E-2</v>
      </c>
      <c r="S41" s="3">
        <v>4.1852878618235138E-3</v>
      </c>
      <c r="T41" s="2">
        <v>6</v>
      </c>
      <c r="U41" s="2">
        <v>42</v>
      </c>
      <c r="V41" s="2">
        <v>-1</v>
      </c>
      <c r="W41" s="2">
        <v>20</v>
      </c>
      <c r="X41" s="2"/>
      <c r="Y41" s="2"/>
      <c r="Z41" s="2"/>
    </row>
    <row r="42" spans="1:26" x14ac:dyDescent="0.3">
      <c r="A42" s="1" t="s">
        <v>25</v>
      </c>
      <c r="B42" s="2">
        <v>11</v>
      </c>
      <c r="C42" s="3">
        <v>1.3083408675531121</v>
      </c>
      <c r="D42" s="3">
        <v>0.27229694925094589</v>
      </c>
      <c r="E42" s="3">
        <v>1.3107210244905729</v>
      </c>
      <c r="F42" s="3">
        <v>3.6244082509991258</v>
      </c>
      <c r="G42" s="3">
        <f>+Frame0[[#This Row],[wmape_test]]-Frame0[[#This Row],[wmape_train]]</f>
        <v>3.3521113017481801</v>
      </c>
      <c r="H42" s="3">
        <v>0.99917980197627621</v>
      </c>
      <c r="I42" s="3">
        <v>0.94205237537804165</v>
      </c>
      <c r="J42" s="3">
        <v>0.84202040739494266</v>
      </c>
      <c r="K42" s="3">
        <f>+Frame0[[#This Row],[r2_train]]-Frame0[[#This Row],[r2_test]]</f>
        <v>0.15715939458133354</v>
      </c>
      <c r="L42" s="3">
        <v>18.815694570541378</v>
      </c>
      <c r="M42" s="2">
        <v>499</v>
      </c>
      <c r="N42" s="2">
        <v>8</v>
      </c>
      <c r="O42" s="3">
        <v>0.1</v>
      </c>
      <c r="P42" s="3">
        <v>0.8</v>
      </c>
      <c r="Q42" s="3">
        <v>0.62022918770526547</v>
      </c>
      <c r="R42" s="3">
        <v>1.148394188087512E-3</v>
      </c>
      <c r="S42" s="3">
        <v>5.3523952646865514</v>
      </c>
      <c r="T42" s="2">
        <v>1</v>
      </c>
      <c r="U42" s="2">
        <v>42</v>
      </c>
      <c r="V42" s="2">
        <v>-1</v>
      </c>
      <c r="W42" s="2">
        <v>20</v>
      </c>
      <c r="X42" s="2"/>
      <c r="Y42" s="2"/>
      <c r="Z42" s="2"/>
    </row>
    <row r="43" spans="1:26" x14ac:dyDescent="0.3">
      <c r="A43" s="1" t="s">
        <v>25</v>
      </c>
      <c r="B43" s="2">
        <v>24</v>
      </c>
      <c r="C43" s="3">
        <v>1.183096658155292</v>
      </c>
      <c r="D43" s="3">
        <v>0.36937673262901272</v>
      </c>
      <c r="E43" s="3">
        <v>1.256051715159987</v>
      </c>
      <c r="F43" s="3">
        <v>3.640825887197868</v>
      </c>
      <c r="G43" s="3">
        <f>+Frame0[[#This Row],[wmape_test]]-Frame0[[#This Row],[wmape_train]]</f>
        <v>3.2714491545688551</v>
      </c>
      <c r="H43" s="3">
        <v>0.99851747355781584</v>
      </c>
      <c r="I43" s="3">
        <v>0.94476795758386156</v>
      </c>
      <c r="J43" s="3">
        <v>0.84571505017992632</v>
      </c>
      <c r="K43" s="3">
        <f>+Frame0[[#This Row],[r2_train]]-Frame0[[#This Row],[r2_test]]</f>
        <v>0.15280242337788952</v>
      </c>
      <c r="L43" s="3">
        <v>15.653071641922001</v>
      </c>
      <c r="M43" s="2">
        <v>367</v>
      </c>
      <c r="N43" s="2">
        <v>8</v>
      </c>
      <c r="O43" s="3">
        <v>0.05</v>
      </c>
      <c r="P43" s="3">
        <v>0.8</v>
      </c>
      <c r="Q43" s="3">
        <v>0.79309453651865836</v>
      </c>
      <c r="R43" s="3">
        <v>3.8523055153381861E-3</v>
      </c>
      <c r="S43" s="3">
        <v>0.39859829320317908</v>
      </c>
      <c r="T43" s="2">
        <v>7</v>
      </c>
      <c r="U43" s="2">
        <v>42</v>
      </c>
      <c r="V43" s="2">
        <v>-1</v>
      </c>
      <c r="W43" s="2">
        <v>20</v>
      </c>
      <c r="X43" s="2"/>
      <c r="Y43" s="2"/>
      <c r="Z43" s="2"/>
    </row>
    <row r="44" spans="1:26" x14ac:dyDescent="0.3">
      <c r="A44" s="1" t="s">
        <v>25</v>
      </c>
      <c r="B44" s="2">
        <v>32</v>
      </c>
      <c r="C44" s="3">
        <v>1.166220815810616</v>
      </c>
      <c r="D44" s="3">
        <v>0.31161866800208221</v>
      </c>
      <c r="E44" s="3">
        <v>1.1931605210512739</v>
      </c>
      <c r="F44" s="3">
        <v>3.6412494279259189</v>
      </c>
      <c r="G44" s="3">
        <f>+Frame0[[#This Row],[wmape_test]]-Frame0[[#This Row],[wmape_train]]</f>
        <v>3.3296307599238366</v>
      </c>
      <c r="H44" s="3">
        <v>0.99887705029693563</v>
      </c>
      <c r="I44" s="3">
        <v>0.94355644212253453</v>
      </c>
      <c r="J44" s="3">
        <v>0.83994414591948896</v>
      </c>
      <c r="K44" s="3">
        <f>+Frame0[[#This Row],[r2_train]]-Frame0[[#This Row],[r2_test]]</f>
        <v>0.15893290437744667</v>
      </c>
      <c r="L44" s="3">
        <v>14.821640729904169</v>
      </c>
      <c r="M44" s="2">
        <v>309</v>
      </c>
      <c r="N44" s="2">
        <v>8</v>
      </c>
      <c r="O44" s="3">
        <v>0.05</v>
      </c>
      <c r="P44" s="3">
        <v>1</v>
      </c>
      <c r="Q44" s="3">
        <v>0.97124878784303981</v>
      </c>
      <c r="R44" s="3">
        <v>4.8461615097553777E-2</v>
      </c>
      <c r="S44" s="3">
        <v>2.1277908131167819E-3</v>
      </c>
      <c r="T44" s="2">
        <v>5</v>
      </c>
      <c r="U44" s="2">
        <v>42</v>
      </c>
      <c r="V44" s="2">
        <v>-1</v>
      </c>
      <c r="W44" s="2">
        <v>20</v>
      </c>
      <c r="X44" s="2"/>
      <c r="Y44" s="2"/>
      <c r="Z44" s="2"/>
    </row>
    <row r="45" spans="1:26" x14ac:dyDescent="0.3">
      <c r="A45" s="1" t="s">
        <v>25</v>
      </c>
      <c r="B45" s="2">
        <v>26</v>
      </c>
      <c r="C45" s="3">
        <v>1.245446441206318</v>
      </c>
      <c r="D45" s="3">
        <v>0.33067301078174699</v>
      </c>
      <c r="E45" s="3">
        <v>1.200299668831057</v>
      </c>
      <c r="F45" s="3">
        <v>3.6518691877519038</v>
      </c>
      <c r="G45" s="3">
        <f>+Frame0[[#This Row],[wmape_test]]-Frame0[[#This Row],[wmape_train]]</f>
        <v>3.3211961769701568</v>
      </c>
      <c r="H45" s="3">
        <v>0.99879488233332969</v>
      </c>
      <c r="I45" s="3">
        <v>0.94430090666261446</v>
      </c>
      <c r="J45" s="3">
        <v>0.84173352620462172</v>
      </c>
      <c r="K45" s="3">
        <f>+Frame0[[#This Row],[r2_train]]-Frame0[[#This Row],[r2_test]]</f>
        <v>0.15706135612870797</v>
      </c>
      <c r="L45" s="3">
        <v>20.648234367370609</v>
      </c>
      <c r="M45" s="2">
        <v>307</v>
      </c>
      <c r="N45" s="2">
        <v>8</v>
      </c>
      <c r="O45" s="3">
        <v>0.05</v>
      </c>
      <c r="P45" s="3">
        <v>0.8</v>
      </c>
      <c r="Q45" s="3">
        <v>0.78240944222487985</v>
      </c>
      <c r="R45" s="3">
        <v>8.7176342137538238E-3</v>
      </c>
      <c r="S45" s="3">
        <v>0.2391990809623851</v>
      </c>
      <c r="T45" s="2">
        <v>8</v>
      </c>
      <c r="U45" s="2">
        <v>42</v>
      </c>
      <c r="V45" s="2">
        <v>-1</v>
      </c>
      <c r="W45" s="2">
        <v>20</v>
      </c>
      <c r="X45" s="2"/>
      <c r="Y45" s="2"/>
      <c r="Z45" s="2"/>
    </row>
    <row r="46" spans="1:26" x14ac:dyDescent="0.3">
      <c r="A46" s="1" t="s">
        <v>25</v>
      </c>
      <c r="B46" s="2">
        <v>25</v>
      </c>
      <c r="C46" s="3">
        <v>1.8423352338632839</v>
      </c>
      <c r="D46" s="3">
        <v>0.63089373350191846</v>
      </c>
      <c r="E46" s="3">
        <v>1.376000356531869</v>
      </c>
      <c r="F46" s="3">
        <v>3.658710409144196</v>
      </c>
      <c r="G46" s="3">
        <f>+Frame0[[#This Row],[wmape_test]]-Frame0[[#This Row],[wmape_train]]</f>
        <v>3.0278166756422777</v>
      </c>
      <c r="H46" s="3">
        <v>0.99594837146077908</v>
      </c>
      <c r="I46" s="3">
        <v>0.94454894573415682</v>
      </c>
      <c r="J46" s="3">
        <v>0.84880109356177114</v>
      </c>
      <c r="K46" s="3">
        <f>+Frame0[[#This Row],[r2_train]]-Frame0[[#This Row],[r2_test]]</f>
        <v>0.14714727789900794</v>
      </c>
      <c r="L46" s="3">
        <v>17.163220167160031</v>
      </c>
      <c r="M46" s="2">
        <v>358</v>
      </c>
      <c r="N46" s="2">
        <v>5</v>
      </c>
      <c r="O46" s="3">
        <v>0.05</v>
      </c>
      <c r="P46" s="3">
        <v>0.8</v>
      </c>
      <c r="Q46" s="3">
        <v>0.85214068215635164</v>
      </c>
      <c r="R46" s="3">
        <v>4.6368637265370152E-3</v>
      </c>
      <c r="S46" s="3">
        <v>5.4003804270101673E-2</v>
      </c>
      <c r="T46" s="2">
        <v>7</v>
      </c>
      <c r="U46" s="2">
        <v>42</v>
      </c>
      <c r="V46" s="2">
        <v>-1</v>
      </c>
      <c r="W46" s="2">
        <v>20</v>
      </c>
      <c r="X46" s="2"/>
      <c r="Y46" s="2"/>
      <c r="Z46" s="2"/>
    </row>
    <row r="47" spans="1:26" hidden="1" x14ac:dyDescent="0.3">
      <c r="A47" s="1" t="s">
        <v>24</v>
      </c>
      <c r="B47" s="2">
        <v>1</v>
      </c>
      <c r="C47" s="3">
        <v>1.1473267914030649</v>
      </c>
      <c r="D47" s="3">
        <v>0.25105920195382442</v>
      </c>
      <c r="E47" s="3">
        <v>1.0529911702235111</v>
      </c>
      <c r="F47" s="3">
        <v>3.424077777764698</v>
      </c>
      <c r="G47" s="3">
        <f>+Frame0[[#This Row],[wmape_test]]-Frame0[[#This Row],[wmape_train]]</f>
        <v>3.1730185758108735</v>
      </c>
      <c r="H47" s="3">
        <v>0.99919107826330966</v>
      </c>
      <c r="I47" s="3">
        <v>0.95226368587489973</v>
      </c>
      <c r="J47" s="3">
        <v>0.85439388519937376</v>
      </c>
      <c r="K47" s="3">
        <f>+Frame0[[#This Row],[r2_train]]-Frame0[[#This Row],[r2_test]]</f>
        <v>0.1447971930639359</v>
      </c>
      <c r="L47" s="3">
        <v>12.939069747924799</v>
      </c>
      <c r="M47" s="2">
        <v>400</v>
      </c>
      <c r="N47" s="2">
        <v>8</v>
      </c>
      <c r="O47" s="3">
        <v>0.05</v>
      </c>
      <c r="P47" s="3">
        <v>0.99493563459761758</v>
      </c>
      <c r="Q47" s="3">
        <v>0.88428087987882487</v>
      </c>
      <c r="R47" s="3">
        <v>4.4328013020037943E-2</v>
      </c>
      <c r="S47" s="3">
        <v>8.1881094437956268</v>
      </c>
      <c r="T47" s="2"/>
      <c r="U47" s="2">
        <v>42</v>
      </c>
      <c r="V47" s="2">
        <v>-1</v>
      </c>
      <c r="W47" s="2"/>
      <c r="X47" s="2">
        <v>100</v>
      </c>
      <c r="Y47" s="2">
        <v>10</v>
      </c>
      <c r="Z47" s="2">
        <v>-1</v>
      </c>
    </row>
    <row r="48" spans="1:26" hidden="1" x14ac:dyDescent="0.3">
      <c r="A48" s="1" t="s">
        <v>24</v>
      </c>
      <c r="B48" s="2">
        <v>3</v>
      </c>
      <c r="C48" s="3">
        <v>1.3108088447745709</v>
      </c>
      <c r="D48" s="3">
        <v>0.35510601454550139</v>
      </c>
      <c r="E48" s="3">
        <v>1.1499654024002921</v>
      </c>
      <c r="F48" s="3">
        <v>3.4826112463983638</v>
      </c>
      <c r="G48" s="3">
        <f>+Frame0[[#This Row],[wmape_test]]-Frame0[[#This Row],[wmape_train]]</f>
        <v>3.1275052318528624</v>
      </c>
      <c r="H48" s="3">
        <v>0.99853613282815679</v>
      </c>
      <c r="I48" s="3">
        <v>0.94466042086210134</v>
      </c>
      <c r="J48" s="3">
        <v>0.84798235151463985</v>
      </c>
      <c r="K48" s="3">
        <f>+Frame0[[#This Row],[r2_train]]-Frame0[[#This Row],[r2_test]]</f>
        <v>0.15055378131351693</v>
      </c>
      <c r="L48" s="3">
        <v>7.2446315288543701</v>
      </c>
      <c r="M48" s="2">
        <v>200</v>
      </c>
      <c r="N48" s="2">
        <v>8</v>
      </c>
      <c r="O48" s="3">
        <v>0.05</v>
      </c>
      <c r="P48" s="3">
        <v>0.65590789326597942</v>
      </c>
      <c r="Q48" s="3">
        <v>0.87613127913898126</v>
      </c>
      <c r="R48" s="3">
        <v>2.2634190999681809E-3</v>
      </c>
      <c r="S48" s="3">
        <v>1.320396725598226E-3</v>
      </c>
      <c r="T48" s="2"/>
      <c r="U48" s="2">
        <v>42</v>
      </c>
      <c r="V48" s="2">
        <v>-1</v>
      </c>
      <c r="W48" s="2"/>
      <c r="X48" s="2">
        <v>100</v>
      </c>
      <c r="Y48" s="2">
        <v>17</v>
      </c>
      <c r="Z48" s="2">
        <v>-1</v>
      </c>
    </row>
    <row r="49" spans="1:26" x14ac:dyDescent="0.3">
      <c r="A49" s="1" t="s">
        <v>25</v>
      </c>
      <c r="B49" s="2">
        <v>18</v>
      </c>
      <c r="C49" s="3">
        <v>1.610640402822642</v>
      </c>
      <c r="D49" s="3">
        <v>0.60731409914612666</v>
      </c>
      <c r="E49" s="3">
        <v>1.387179208200976</v>
      </c>
      <c r="F49" s="3">
        <v>3.6614175199264309</v>
      </c>
      <c r="G49" s="3">
        <f>+Frame0[[#This Row],[wmape_test]]-Frame0[[#This Row],[wmape_train]]</f>
        <v>3.0541034207803044</v>
      </c>
      <c r="H49" s="3">
        <v>0.9961844237658124</v>
      </c>
      <c r="I49" s="3">
        <v>0.93875988665236609</v>
      </c>
      <c r="J49" s="3">
        <v>0.84299001623363834</v>
      </c>
      <c r="K49" s="3">
        <f>+Frame0[[#This Row],[r2_train]]-Frame0[[#This Row],[r2_test]]</f>
        <v>0.15319440753217406</v>
      </c>
      <c r="L49" s="3">
        <v>13.380684852600099</v>
      </c>
      <c r="M49" s="2">
        <v>400</v>
      </c>
      <c r="N49" s="2">
        <v>5</v>
      </c>
      <c r="O49" s="3">
        <v>0.05</v>
      </c>
      <c r="P49" s="3">
        <v>1</v>
      </c>
      <c r="Q49" s="3">
        <v>0.75612804457650951</v>
      </c>
      <c r="R49" s="3">
        <v>9.0982153755422832E-2</v>
      </c>
      <c r="S49" s="3">
        <v>3.050976600906139</v>
      </c>
      <c r="T49" s="2">
        <v>18</v>
      </c>
      <c r="U49" s="2">
        <v>42</v>
      </c>
      <c r="V49" s="2">
        <v>-1</v>
      </c>
      <c r="W49" s="2">
        <v>20</v>
      </c>
      <c r="X49" s="2"/>
      <c r="Y49" s="2"/>
      <c r="Z49" s="2"/>
    </row>
    <row r="50" spans="1:26" x14ac:dyDescent="0.3">
      <c r="A50" s="1" t="s">
        <v>25</v>
      </c>
      <c r="B50" s="2">
        <v>30</v>
      </c>
      <c r="C50" s="3">
        <v>1.2017224922310561</v>
      </c>
      <c r="D50" s="3">
        <v>0.35992840736155451</v>
      </c>
      <c r="E50" s="3">
        <v>1.2011048006977829</v>
      </c>
      <c r="F50" s="3">
        <v>3.663815108928572</v>
      </c>
      <c r="G50" s="3">
        <f>+Frame0[[#This Row],[wmape_test]]-Frame0[[#This Row],[wmape_train]]</f>
        <v>3.3038867015670172</v>
      </c>
      <c r="H50" s="3">
        <v>0.99860595004799257</v>
      </c>
      <c r="I50" s="3">
        <v>0.94183076681299249</v>
      </c>
      <c r="J50" s="3">
        <v>0.83603669054745233</v>
      </c>
      <c r="K50" s="3">
        <f>+Frame0[[#This Row],[r2_train]]-Frame0[[#This Row],[r2_test]]</f>
        <v>0.16256925950054024</v>
      </c>
      <c r="L50" s="3">
        <v>12.604750394821171</v>
      </c>
      <c r="M50" s="2">
        <v>300</v>
      </c>
      <c r="N50" s="2">
        <v>8</v>
      </c>
      <c r="O50" s="3">
        <v>0.05</v>
      </c>
      <c r="P50" s="3">
        <v>1</v>
      </c>
      <c r="Q50" s="3">
        <v>0.9079986091626524</v>
      </c>
      <c r="R50" s="3">
        <v>2.957650100464532E-2</v>
      </c>
      <c r="S50" s="3">
        <v>2.9634072375260351E-2</v>
      </c>
      <c r="T50" s="2">
        <v>2</v>
      </c>
      <c r="U50" s="2">
        <v>42</v>
      </c>
      <c r="V50" s="2">
        <v>-1</v>
      </c>
      <c r="W50" s="2">
        <v>20</v>
      </c>
      <c r="X50" s="2"/>
      <c r="Y50" s="2"/>
      <c r="Z50" s="2"/>
    </row>
    <row r="51" spans="1:26" hidden="1" x14ac:dyDescent="0.3">
      <c r="A51" s="1" t="s">
        <v>24</v>
      </c>
      <c r="B51" s="2">
        <v>5</v>
      </c>
      <c r="C51" s="3">
        <v>1.380470020116761</v>
      </c>
      <c r="D51" s="3">
        <v>0.36836556022152878</v>
      </c>
      <c r="E51" s="3">
        <v>1.320165153624822</v>
      </c>
      <c r="F51" s="3">
        <v>3.503233768752025</v>
      </c>
      <c r="G51" s="3">
        <f>+Frame0[[#This Row],[wmape_test]]-Frame0[[#This Row],[wmape_train]]</f>
        <v>3.134868208530496</v>
      </c>
      <c r="H51" s="3">
        <v>0.99805582142053328</v>
      </c>
      <c r="I51" s="3">
        <v>0.93164863571208256</v>
      </c>
      <c r="J51" s="3">
        <v>0.83779310231860116</v>
      </c>
      <c r="K51" s="3">
        <f>+Frame0[[#This Row],[r2_train]]-Frame0[[#This Row],[r2_test]]</f>
        <v>0.16026271910193213</v>
      </c>
      <c r="L51" s="3">
        <v>11.601794481277469</v>
      </c>
      <c r="M51" s="2">
        <v>400</v>
      </c>
      <c r="N51" s="2">
        <v>8</v>
      </c>
      <c r="O51" s="3">
        <v>0.05</v>
      </c>
      <c r="P51" s="3">
        <v>0.96421638576262159</v>
      </c>
      <c r="Q51" s="3">
        <v>0.89882446165710816</v>
      </c>
      <c r="R51" s="3">
        <v>0.94489599398273338</v>
      </c>
      <c r="S51" s="3">
        <v>2.9446531681620911</v>
      </c>
      <c r="T51" s="2"/>
      <c r="U51" s="2">
        <v>42</v>
      </c>
      <c r="V51" s="2">
        <v>-1</v>
      </c>
      <c r="W51" s="2"/>
      <c r="X51" s="2">
        <v>50</v>
      </c>
      <c r="Y51" s="2">
        <v>48</v>
      </c>
      <c r="Z51" s="2">
        <v>-1</v>
      </c>
    </row>
    <row r="52" spans="1:26" x14ac:dyDescent="0.3">
      <c r="A52" s="1" t="s">
        <v>25</v>
      </c>
      <c r="B52" s="2">
        <v>27</v>
      </c>
      <c r="C52" s="3">
        <v>1.3544542440422711</v>
      </c>
      <c r="D52" s="3">
        <v>0.39500828032157681</v>
      </c>
      <c r="E52" s="3">
        <v>1.27114038607652</v>
      </c>
      <c r="F52" s="3">
        <v>3.684331986211022</v>
      </c>
      <c r="G52" s="3">
        <f>+Frame0[[#This Row],[wmape_test]]-Frame0[[#This Row],[wmape_train]]</f>
        <v>3.2893237058894451</v>
      </c>
      <c r="H52" s="3">
        <v>0.99834371564713775</v>
      </c>
      <c r="I52" s="3">
        <v>0.94555120841493789</v>
      </c>
      <c r="J52" s="3">
        <v>0.84613277357884065</v>
      </c>
      <c r="K52" s="3">
        <f>+Frame0[[#This Row],[r2_train]]-Frame0[[#This Row],[r2_test]]</f>
        <v>0.15221094206829711</v>
      </c>
      <c r="L52" s="3">
        <v>18.614469528198239</v>
      </c>
      <c r="M52" s="2">
        <v>278</v>
      </c>
      <c r="N52" s="2">
        <v>8</v>
      </c>
      <c r="O52" s="3">
        <v>0.05</v>
      </c>
      <c r="P52" s="3">
        <v>0.8</v>
      </c>
      <c r="Q52" s="3">
        <v>0.72085963248053231</v>
      </c>
      <c r="R52" s="3">
        <v>3.0111370655700911E-3</v>
      </c>
      <c r="S52" s="3">
        <v>0.47862255685215799</v>
      </c>
      <c r="T52" s="2">
        <v>6</v>
      </c>
      <c r="U52" s="2">
        <v>42</v>
      </c>
      <c r="V52" s="2">
        <v>-1</v>
      </c>
      <c r="W52" s="2">
        <v>20</v>
      </c>
      <c r="X52" s="2"/>
      <c r="Y52" s="2"/>
      <c r="Z52" s="2"/>
    </row>
    <row r="53" spans="1:26" hidden="1" x14ac:dyDescent="0.3">
      <c r="A53" s="1" t="s">
        <v>24</v>
      </c>
      <c r="B53" s="2">
        <v>2</v>
      </c>
      <c r="C53" s="3">
        <v>1.3651016419813971</v>
      </c>
      <c r="D53" s="3">
        <v>0.36936973130646628</v>
      </c>
      <c r="E53" s="3">
        <v>1.27507647947422</v>
      </c>
      <c r="F53" s="3">
        <v>3.5092482954918141</v>
      </c>
      <c r="G53" s="3">
        <f>+Frame0[[#This Row],[wmape_test]]-Frame0[[#This Row],[wmape_train]]</f>
        <v>3.1398785641853477</v>
      </c>
      <c r="H53" s="3">
        <v>0.99809936393458065</v>
      </c>
      <c r="I53" s="3">
        <v>0.93596834861817912</v>
      </c>
      <c r="J53" s="3">
        <v>0.84086493247982119</v>
      </c>
      <c r="K53" s="3">
        <f>+Frame0[[#This Row],[r2_train]]-Frame0[[#This Row],[r2_test]]</f>
        <v>0.15723443145475946</v>
      </c>
      <c r="L53" s="3">
        <v>12.36131477355957</v>
      </c>
      <c r="M53" s="2">
        <v>600</v>
      </c>
      <c r="N53" s="2">
        <v>8</v>
      </c>
      <c r="O53" s="3">
        <v>0.1</v>
      </c>
      <c r="P53" s="3">
        <v>0.70582768082083536</v>
      </c>
      <c r="Q53" s="3">
        <v>0.96225680028534333</v>
      </c>
      <c r="R53" s="3">
        <v>0.94035076950949248</v>
      </c>
      <c r="S53" s="3">
        <v>0.37896232001092678</v>
      </c>
      <c r="T53" s="2"/>
      <c r="U53" s="2">
        <v>42</v>
      </c>
      <c r="V53" s="2">
        <v>-1</v>
      </c>
      <c r="W53" s="2"/>
      <c r="X53" s="2">
        <v>20</v>
      </c>
      <c r="Y53" s="2">
        <v>55</v>
      </c>
      <c r="Z53" s="2">
        <v>-1</v>
      </c>
    </row>
    <row r="54" spans="1:26" hidden="1" x14ac:dyDescent="0.3">
      <c r="A54" s="1" t="s">
        <v>24</v>
      </c>
      <c r="B54" s="2">
        <v>7</v>
      </c>
      <c r="C54" s="3">
        <v>1.368414943881509</v>
      </c>
      <c r="D54" s="3">
        <v>0.45811605674964828</v>
      </c>
      <c r="E54" s="3">
        <v>1.374098402683601</v>
      </c>
      <c r="F54" s="3">
        <v>3.5687413260138978</v>
      </c>
      <c r="G54" s="3">
        <f>+Frame0[[#This Row],[wmape_test]]-Frame0[[#This Row],[wmape_train]]</f>
        <v>3.1106252692642498</v>
      </c>
      <c r="H54" s="3">
        <v>0.99753785193173738</v>
      </c>
      <c r="I54" s="3">
        <v>0.93374620876794245</v>
      </c>
      <c r="J54" s="3">
        <v>0.83796605965686077</v>
      </c>
      <c r="K54" s="3">
        <f>+Frame0[[#This Row],[r2_train]]-Frame0[[#This Row],[r2_test]]</f>
        <v>0.15957179227487661</v>
      </c>
      <c r="L54" s="3">
        <v>11.551241874694821</v>
      </c>
      <c r="M54" s="2">
        <v>600</v>
      </c>
      <c r="N54" s="2">
        <v>14</v>
      </c>
      <c r="O54" s="3">
        <v>0.05</v>
      </c>
      <c r="P54" s="3">
        <v>0.80718857519157239</v>
      </c>
      <c r="Q54" s="3">
        <v>0.75552935634925511</v>
      </c>
      <c r="R54" s="3">
        <v>0.39089169453507511</v>
      </c>
      <c r="S54" s="3">
        <v>0.14672567971066389</v>
      </c>
      <c r="T54" s="2"/>
      <c r="U54" s="2">
        <v>42</v>
      </c>
      <c r="V54" s="2">
        <v>-1</v>
      </c>
      <c r="W54" s="2"/>
      <c r="X54" s="2">
        <v>20</v>
      </c>
      <c r="Y54" s="2">
        <v>40</v>
      </c>
      <c r="Z54" s="2">
        <v>-1</v>
      </c>
    </row>
    <row r="55" spans="1:26" hidden="1" x14ac:dyDescent="0.3">
      <c r="A55" s="1" t="s">
        <v>24</v>
      </c>
      <c r="B55" s="2">
        <v>4</v>
      </c>
      <c r="C55" s="3">
        <v>1.3948529144235671</v>
      </c>
      <c r="D55" s="3">
        <v>0.40457539770042239</v>
      </c>
      <c r="E55" s="3">
        <v>1.4241862121454389</v>
      </c>
      <c r="F55" s="3">
        <v>3.589817922089221</v>
      </c>
      <c r="G55" s="3">
        <f>+Frame0[[#This Row],[wmape_test]]-Frame0[[#This Row],[wmape_train]]</f>
        <v>3.1852425243887987</v>
      </c>
      <c r="H55" s="3">
        <v>0.99779216638897472</v>
      </c>
      <c r="I55" s="3">
        <v>0.9307354495069492</v>
      </c>
      <c r="J55" s="3">
        <v>0.83693589415815295</v>
      </c>
      <c r="K55" s="3">
        <f>+Frame0[[#This Row],[r2_train]]-Frame0[[#This Row],[r2_test]]</f>
        <v>0.16085627223082177</v>
      </c>
      <c r="L55" s="3">
        <v>6.6459884643554688</v>
      </c>
      <c r="M55" s="2">
        <v>200</v>
      </c>
      <c r="N55" s="2">
        <v>14</v>
      </c>
      <c r="O55" s="3">
        <v>0.1</v>
      </c>
      <c r="P55" s="3">
        <v>0.75586828859567956</v>
      </c>
      <c r="Q55" s="3">
        <v>0.89177813033753051</v>
      </c>
      <c r="R55" s="3">
        <v>1.220055604042108</v>
      </c>
      <c r="S55" s="3">
        <v>1.0721927850829589</v>
      </c>
      <c r="T55" s="2"/>
      <c r="U55" s="2">
        <v>42</v>
      </c>
      <c r="V55" s="2">
        <v>-1</v>
      </c>
      <c r="W55" s="2"/>
      <c r="X55" s="2">
        <v>50</v>
      </c>
      <c r="Y55" s="2">
        <v>7</v>
      </c>
      <c r="Z55" s="2">
        <v>-1</v>
      </c>
    </row>
    <row r="56" spans="1:26" hidden="1" x14ac:dyDescent="0.3">
      <c r="A56" s="1" t="s">
        <v>24</v>
      </c>
      <c r="B56" s="2">
        <v>15</v>
      </c>
      <c r="C56" s="3">
        <v>1.1583452299160191</v>
      </c>
      <c r="D56" s="3">
        <v>0.29083955191318928</v>
      </c>
      <c r="E56" s="3">
        <v>1.149080885908762</v>
      </c>
      <c r="F56" s="3">
        <v>3.627596496618946</v>
      </c>
      <c r="G56" s="3">
        <f>+Frame0[[#This Row],[wmape_test]]-Frame0[[#This Row],[wmape_train]]</f>
        <v>3.3367569447057566</v>
      </c>
      <c r="H56" s="3">
        <v>0.99902469316832931</v>
      </c>
      <c r="I56" s="3">
        <v>0.94890558213478138</v>
      </c>
      <c r="J56" s="3">
        <v>0.83958034838000239</v>
      </c>
      <c r="K56" s="3">
        <f>+Frame0[[#This Row],[r2_train]]-Frame0[[#This Row],[r2_test]]</f>
        <v>0.15944434478832692</v>
      </c>
      <c r="L56" s="3">
        <v>11.861188650131229</v>
      </c>
      <c r="M56" s="2">
        <v>400</v>
      </c>
      <c r="N56" s="2">
        <v>14</v>
      </c>
      <c r="O56" s="3">
        <v>0.05</v>
      </c>
      <c r="P56" s="3">
        <v>0.91092039275244285</v>
      </c>
      <c r="Q56" s="3">
        <v>0.91292441929874313</v>
      </c>
      <c r="R56" s="3">
        <v>5.2123461786095036E-3</v>
      </c>
      <c r="S56" s="3">
        <v>4.3883906551578353E-2</v>
      </c>
      <c r="T56" s="2"/>
      <c r="U56" s="2">
        <v>42</v>
      </c>
      <c r="V56" s="2">
        <v>-1</v>
      </c>
      <c r="W56" s="2"/>
      <c r="X56" s="2">
        <v>100</v>
      </c>
      <c r="Y56" s="2">
        <v>6</v>
      </c>
      <c r="Z56" s="2">
        <v>-1</v>
      </c>
    </row>
    <row r="57" spans="1:26" x14ac:dyDescent="0.3">
      <c r="A57" s="1" t="s">
        <v>25</v>
      </c>
      <c r="B57" s="2">
        <v>7</v>
      </c>
      <c r="C57" s="3">
        <v>1.2635119404642641</v>
      </c>
      <c r="D57" s="3">
        <v>0.37777320586440521</v>
      </c>
      <c r="E57" s="3">
        <v>1.3955333494534621</v>
      </c>
      <c r="F57" s="3">
        <v>3.6856266015684351</v>
      </c>
      <c r="G57" s="3">
        <f>+Frame0[[#This Row],[wmape_test]]-Frame0[[#This Row],[wmape_train]]</f>
        <v>3.3078533957040301</v>
      </c>
      <c r="H57" s="3">
        <v>0.99846631377588435</v>
      </c>
      <c r="I57" s="3">
        <v>0.94347252629604705</v>
      </c>
      <c r="J57" s="3">
        <v>0.84836630190974582</v>
      </c>
      <c r="K57" s="3">
        <f>+Frame0[[#This Row],[r2_train]]-Frame0[[#This Row],[r2_test]]</f>
        <v>0.15010001186613853</v>
      </c>
      <c r="L57" s="3">
        <v>11.193861722946171</v>
      </c>
      <c r="M57" s="2">
        <v>475</v>
      </c>
      <c r="N57" s="2">
        <v>8</v>
      </c>
      <c r="O57" s="3">
        <v>0.1</v>
      </c>
      <c r="P57" s="3">
        <v>0.8</v>
      </c>
      <c r="Q57" s="3">
        <v>0.62599425144124199</v>
      </c>
      <c r="R57" s="3">
        <v>2.927916235435321E-3</v>
      </c>
      <c r="S57" s="3">
        <v>0.93929075614561774</v>
      </c>
      <c r="T57" s="2">
        <v>10</v>
      </c>
      <c r="U57" s="2">
        <v>42</v>
      </c>
      <c r="V57" s="2">
        <v>-1</v>
      </c>
      <c r="W57" s="2">
        <v>20</v>
      </c>
      <c r="X57" s="2"/>
      <c r="Y57" s="2"/>
      <c r="Z57" s="2"/>
    </row>
    <row r="58" spans="1:26" x14ac:dyDescent="0.3">
      <c r="A58" s="1" t="s">
        <v>25</v>
      </c>
      <c r="B58" s="2">
        <v>28</v>
      </c>
      <c r="C58" s="3">
        <v>1.188833766781058</v>
      </c>
      <c r="D58" s="3">
        <v>0.34776206104284191</v>
      </c>
      <c r="E58" s="3">
        <v>1.216819032637813</v>
      </c>
      <c r="F58" s="3">
        <v>3.686141079271346</v>
      </c>
      <c r="G58" s="3">
        <f>+Frame0[[#This Row],[wmape_test]]-Frame0[[#This Row],[wmape_train]]</f>
        <v>3.3383790182285042</v>
      </c>
      <c r="H58" s="3">
        <v>0.99863262680954434</v>
      </c>
      <c r="I58" s="3">
        <v>0.9420260383044986</v>
      </c>
      <c r="J58" s="3">
        <v>0.83568190869753711</v>
      </c>
      <c r="K58" s="3">
        <f>+Frame0[[#This Row],[r2_train]]-Frame0[[#This Row],[r2_test]]</f>
        <v>0.16295071811200723</v>
      </c>
      <c r="L58" s="3">
        <v>14.31208395957947</v>
      </c>
      <c r="M58" s="2">
        <v>365</v>
      </c>
      <c r="N58" s="2">
        <v>8</v>
      </c>
      <c r="O58" s="3">
        <v>0.05</v>
      </c>
      <c r="P58" s="3">
        <v>1</v>
      </c>
      <c r="Q58" s="3">
        <v>0.83961530197205014</v>
      </c>
      <c r="R58" s="3">
        <v>4.3243127813987522E-2</v>
      </c>
      <c r="S58" s="3">
        <v>4.1037633614567426</v>
      </c>
      <c r="T58" s="2">
        <v>3</v>
      </c>
      <c r="U58" s="2">
        <v>42</v>
      </c>
      <c r="V58" s="2">
        <v>-1</v>
      </c>
      <c r="W58" s="2">
        <v>20</v>
      </c>
      <c r="X58" s="2"/>
      <c r="Y58" s="2"/>
      <c r="Z58" s="2"/>
    </row>
    <row r="59" spans="1:26" hidden="1" x14ac:dyDescent="0.3">
      <c r="A59" s="1" t="s">
        <v>24</v>
      </c>
      <c r="B59" s="2">
        <v>16</v>
      </c>
      <c r="C59" s="3">
        <v>1.758122437965272</v>
      </c>
      <c r="D59" s="3">
        <v>0.6647407418253497</v>
      </c>
      <c r="E59" s="3">
        <v>1.6089134574152639</v>
      </c>
      <c r="F59" s="3">
        <v>3.8257993473780161</v>
      </c>
      <c r="G59" s="3">
        <f>+Frame0[[#This Row],[wmape_test]]-Frame0[[#This Row],[wmape_train]]</f>
        <v>3.1610586055526664</v>
      </c>
      <c r="H59" s="3">
        <v>0.99517225309110358</v>
      </c>
      <c r="I59" s="3">
        <v>0.93804154230982972</v>
      </c>
      <c r="J59" s="3">
        <v>0.84652565061925544</v>
      </c>
      <c r="K59" s="3">
        <f>+Frame0[[#This Row],[r2_train]]-Frame0[[#This Row],[r2_test]]</f>
        <v>0.14864660247184813</v>
      </c>
      <c r="L59" s="3">
        <v>18.627739906311039</v>
      </c>
      <c r="M59" s="2">
        <v>400</v>
      </c>
      <c r="N59" s="2">
        <v>14</v>
      </c>
      <c r="O59" s="3">
        <v>0.01</v>
      </c>
      <c r="P59" s="3">
        <v>0.90409758319857758</v>
      </c>
      <c r="Q59" s="3">
        <v>0.92580033541505713</v>
      </c>
      <c r="R59" s="3">
        <v>6.1377031459813394E-3</v>
      </c>
      <c r="S59" s="3">
        <v>0.76731176816395874</v>
      </c>
      <c r="T59" s="2"/>
      <c r="U59" s="2">
        <v>42</v>
      </c>
      <c r="V59" s="2">
        <v>-1</v>
      </c>
      <c r="W59" s="2"/>
      <c r="X59" s="2">
        <v>100</v>
      </c>
      <c r="Y59" s="2">
        <v>6</v>
      </c>
      <c r="Z59" s="2">
        <v>-1</v>
      </c>
    </row>
    <row r="60" spans="1:26" x14ac:dyDescent="0.3">
      <c r="A60" s="1" t="s">
        <v>25</v>
      </c>
      <c r="B60" s="2">
        <v>31</v>
      </c>
      <c r="C60" s="3">
        <v>1.1476073928575261</v>
      </c>
      <c r="D60" s="3">
        <v>0.45049396092126942</v>
      </c>
      <c r="E60" s="3">
        <v>1.3458055111322229</v>
      </c>
      <c r="F60" s="3">
        <v>3.760647561833792</v>
      </c>
      <c r="G60" s="3">
        <f>+Frame0[[#This Row],[wmape_test]]-Frame0[[#This Row],[wmape_train]]</f>
        <v>3.3101536009125225</v>
      </c>
      <c r="H60" s="3">
        <v>0.99781254485612747</v>
      </c>
      <c r="I60" s="3">
        <v>0.93879121061690451</v>
      </c>
      <c r="J60" s="3">
        <v>0.83464126579003528</v>
      </c>
      <c r="K60" s="3">
        <f>+Frame0[[#This Row],[r2_train]]-Frame0[[#This Row],[r2_test]]</f>
        <v>0.16317127906609219</v>
      </c>
      <c r="L60" s="3">
        <v>9.9511525630950928</v>
      </c>
      <c r="M60" s="2">
        <v>309</v>
      </c>
      <c r="N60" s="2">
        <v>8</v>
      </c>
      <c r="O60" s="3">
        <v>0.05</v>
      </c>
      <c r="P60" s="3">
        <v>1</v>
      </c>
      <c r="Q60" s="3">
        <v>0.91745512150696917</v>
      </c>
      <c r="R60" s="3">
        <v>3.3167024802385148E-2</v>
      </c>
      <c r="S60" s="3">
        <v>3.6706816852708759E-3</v>
      </c>
      <c r="T60" s="2">
        <v>3</v>
      </c>
      <c r="U60" s="2">
        <v>42</v>
      </c>
      <c r="V60" s="2">
        <v>-1</v>
      </c>
      <c r="W60" s="2">
        <v>20</v>
      </c>
      <c r="X60" s="2"/>
      <c r="Y60" s="2"/>
      <c r="Z60" s="2"/>
    </row>
    <row r="61" spans="1:26" x14ac:dyDescent="0.3">
      <c r="A61" s="1" t="s">
        <v>25</v>
      </c>
      <c r="B61" s="2">
        <v>29</v>
      </c>
      <c r="C61" s="3">
        <v>1.757829174883925</v>
      </c>
      <c r="D61" s="3">
        <v>0.63067636735405896</v>
      </c>
      <c r="E61" s="3">
        <v>1.3932007458242319</v>
      </c>
      <c r="F61" s="3">
        <v>3.7718567313695499</v>
      </c>
      <c r="G61" s="3">
        <f>+Frame0[[#This Row],[wmape_test]]-Frame0[[#This Row],[wmape_train]]</f>
        <v>3.1411803640154909</v>
      </c>
      <c r="H61" s="3">
        <v>0.99594128138801052</v>
      </c>
      <c r="I61" s="3">
        <v>0.94271965931799162</v>
      </c>
      <c r="J61" s="3">
        <v>0.84257285216142008</v>
      </c>
      <c r="K61" s="3">
        <f>+Frame0[[#This Row],[r2_train]]-Frame0[[#This Row],[r2_test]]</f>
        <v>0.15336842922659044</v>
      </c>
      <c r="L61" s="3">
        <v>13.939600467681879</v>
      </c>
      <c r="M61" s="2">
        <v>354</v>
      </c>
      <c r="N61" s="2">
        <v>5</v>
      </c>
      <c r="O61" s="3">
        <v>0.05</v>
      </c>
      <c r="P61" s="3">
        <v>1</v>
      </c>
      <c r="Q61" s="3">
        <v>0.83552110682520953</v>
      </c>
      <c r="R61" s="3">
        <v>1.19686566224928E-2</v>
      </c>
      <c r="S61" s="3">
        <v>0.19978750780644541</v>
      </c>
      <c r="T61" s="2">
        <v>3</v>
      </c>
      <c r="U61" s="2">
        <v>42</v>
      </c>
      <c r="V61" s="2">
        <v>-1</v>
      </c>
      <c r="W61" s="2">
        <v>20</v>
      </c>
      <c r="X61" s="2"/>
      <c r="Y61" s="2"/>
      <c r="Z61" s="2"/>
    </row>
    <row r="62" spans="1:26" x14ac:dyDescent="0.3">
      <c r="A62" s="1" t="s">
        <v>25</v>
      </c>
      <c r="B62" s="2">
        <v>2</v>
      </c>
      <c r="C62" s="3">
        <v>1.6947009828259241</v>
      </c>
      <c r="D62" s="3">
        <v>0.68669401900673377</v>
      </c>
      <c r="E62" s="3">
        <v>1.51925032097688</v>
      </c>
      <c r="F62" s="3">
        <v>3.779936621750895</v>
      </c>
      <c r="G62" s="3">
        <f>+Frame0[[#This Row],[wmape_test]]-Frame0[[#This Row],[wmape_train]]</f>
        <v>3.0932426027441613</v>
      </c>
      <c r="H62" s="3">
        <v>0.99536555150933592</v>
      </c>
      <c r="I62" s="3">
        <v>0.9394094327226703</v>
      </c>
      <c r="J62" s="3">
        <v>0.84473162207439378</v>
      </c>
      <c r="K62" s="3">
        <f>+Frame0[[#This Row],[r2_train]]-Frame0[[#This Row],[r2_test]]</f>
        <v>0.15063392943494214</v>
      </c>
      <c r="L62" s="3">
        <v>29.514922142028809</v>
      </c>
      <c r="M62" s="2">
        <v>444</v>
      </c>
      <c r="N62" s="2">
        <v>8</v>
      </c>
      <c r="O62" s="3">
        <v>0.01</v>
      </c>
      <c r="P62" s="3">
        <v>0.6</v>
      </c>
      <c r="Q62" s="3">
        <v>0.87041863139335662</v>
      </c>
      <c r="R62" s="3">
        <v>1.419370167885497E-2</v>
      </c>
      <c r="S62" s="3">
        <v>1.3188653203862321E-3</v>
      </c>
      <c r="T62" s="2">
        <v>4</v>
      </c>
      <c r="U62" s="2">
        <v>42</v>
      </c>
      <c r="V62" s="2">
        <v>-1</v>
      </c>
      <c r="W62" s="2">
        <v>20</v>
      </c>
      <c r="X62" s="2"/>
      <c r="Y62" s="2"/>
      <c r="Z62" s="2"/>
    </row>
    <row r="63" spans="1:26" x14ac:dyDescent="0.3">
      <c r="A63" s="1" t="s">
        <v>25</v>
      </c>
      <c r="B63" s="2">
        <v>19</v>
      </c>
      <c r="C63" s="3">
        <v>1.691686028090482</v>
      </c>
      <c r="D63" s="3">
        <v>0.51928670897285012</v>
      </c>
      <c r="E63" s="3">
        <v>1.58343010619978</v>
      </c>
      <c r="F63" s="3">
        <v>3.7846259676445921</v>
      </c>
      <c r="G63" s="3">
        <f>+Frame0[[#This Row],[wmape_test]]-Frame0[[#This Row],[wmape_train]]</f>
        <v>3.2653392586717418</v>
      </c>
      <c r="H63" s="3">
        <v>0.99579338483854518</v>
      </c>
      <c r="I63" s="3">
        <v>0.93061797843983574</v>
      </c>
      <c r="J63" s="3">
        <v>0.83914910244494068</v>
      </c>
      <c r="K63" s="3">
        <f>+Frame0[[#This Row],[r2_train]]-Frame0[[#This Row],[r2_test]]</f>
        <v>0.15664428239360451</v>
      </c>
      <c r="L63" s="3">
        <v>20.183213949203491</v>
      </c>
      <c r="M63" s="2">
        <v>334</v>
      </c>
      <c r="N63" s="2">
        <v>8</v>
      </c>
      <c r="O63" s="3">
        <v>0.05</v>
      </c>
      <c r="P63" s="3">
        <v>0.6</v>
      </c>
      <c r="Q63" s="3">
        <v>0.99318573453891967</v>
      </c>
      <c r="R63" s="3">
        <v>6.378828886337069</v>
      </c>
      <c r="S63" s="3">
        <v>0.45801157809445592</v>
      </c>
      <c r="T63" s="2">
        <v>17</v>
      </c>
      <c r="U63" s="2">
        <v>42</v>
      </c>
      <c r="V63" s="2">
        <v>-1</v>
      </c>
      <c r="W63" s="2">
        <v>20</v>
      </c>
      <c r="X63" s="2"/>
      <c r="Y63" s="2"/>
      <c r="Z63" s="2"/>
    </row>
    <row r="64" spans="1:26" x14ac:dyDescent="0.3">
      <c r="A64" s="1" t="s">
        <v>25</v>
      </c>
      <c r="B64" s="2">
        <v>3</v>
      </c>
      <c r="C64" s="3">
        <v>1.753703811771044</v>
      </c>
      <c r="D64" s="3">
        <v>0.73330254050459565</v>
      </c>
      <c r="E64" s="3">
        <v>1.581523616702176</v>
      </c>
      <c r="F64" s="3">
        <v>3.817812503863431</v>
      </c>
      <c r="G64" s="3">
        <f>+Frame0[[#This Row],[wmape_test]]-Frame0[[#This Row],[wmape_train]]</f>
        <v>3.0845099633588351</v>
      </c>
      <c r="H64" s="3">
        <v>0.99431413959162607</v>
      </c>
      <c r="I64" s="3">
        <v>0.93214633483310738</v>
      </c>
      <c r="J64" s="3">
        <v>0.83572782967501491</v>
      </c>
      <c r="K64" s="3">
        <f>+Frame0[[#This Row],[r2_train]]-Frame0[[#This Row],[r2_test]]</f>
        <v>0.15858630991661116</v>
      </c>
      <c r="L64" s="3">
        <v>8.2260391712188721</v>
      </c>
      <c r="M64" s="2">
        <v>284</v>
      </c>
      <c r="N64" s="2">
        <v>4</v>
      </c>
      <c r="O64" s="3">
        <v>0.1</v>
      </c>
      <c r="P64" s="3">
        <v>1</v>
      </c>
      <c r="Q64" s="3">
        <v>0.87315675200933651</v>
      </c>
      <c r="R64" s="3">
        <v>0.4636965610270613</v>
      </c>
      <c r="S64" s="3">
        <v>0.1205794479190537</v>
      </c>
      <c r="T64" s="2">
        <v>5</v>
      </c>
      <c r="U64" s="2">
        <v>42</v>
      </c>
      <c r="V64" s="2">
        <v>-1</v>
      </c>
      <c r="W64" s="2">
        <v>20</v>
      </c>
      <c r="X64" s="2"/>
      <c r="Y64" s="2"/>
      <c r="Z64" s="2"/>
    </row>
    <row r="65" spans="1:26" hidden="1" x14ac:dyDescent="0.3">
      <c r="A65" s="1" t="s">
        <v>24</v>
      </c>
      <c r="B65" s="2">
        <v>6</v>
      </c>
      <c r="C65" s="3">
        <v>1.7971909039046361</v>
      </c>
      <c r="D65" s="3">
        <v>0.87081954426130304</v>
      </c>
      <c r="E65" s="3">
        <v>1.7212777305725171</v>
      </c>
      <c r="F65" s="3">
        <v>3.9122407200326341</v>
      </c>
      <c r="G65" s="3">
        <f>+Frame0[[#This Row],[wmape_test]]-Frame0[[#This Row],[wmape_train]]</f>
        <v>3.041421175771331</v>
      </c>
      <c r="H65" s="3">
        <v>0.99173639758983145</v>
      </c>
      <c r="I65" s="3">
        <v>0.92680135415833742</v>
      </c>
      <c r="J65" s="3">
        <v>0.83287521093026318</v>
      </c>
      <c r="K65" s="3">
        <f>+Frame0[[#This Row],[r2_train]]-Frame0[[#This Row],[r2_test]]</f>
        <v>0.15886118665956828</v>
      </c>
      <c r="L65" s="3">
        <v>3.501921415328979</v>
      </c>
      <c r="M65" s="2">
        <v>200</v>
      </c>
      <c r="N65" s="2">
        <v>4</v>
      </c>
      <c r="O65" s="3">
        <v>0.1</v>
      </c>
      <c r="P65" s="3">
        <v>0.93892685449510604</v>
      </c>
      <c r="Q65" s="3">
        <v>0.8017329107915635</v>
      </c>
      <c r="R65" s="3">
        <v>1.768737606261735E-2</v>
      </c>
      <c r="S65" s="3">
        <v>3.1272172516354941</v>
      </c>
      <c r="T65" s="2"/>
      <c r="U65" s="2">
        <v>42</v>
      </c>
      <c r="V65" s="2">
        <v>-1</v>
      </c>
      <c r="W65" s="2"/>
      <c r="X65" s="2">
        <v>20</v>
      </c>
      <c r="Y65" s="2">
        <v>78</v>
      </c>
      <c r="Z65" s="2">
        <v>-1</v>
      </c>
    </row>
    <row r="66" spans="1:26" hidden="1" x14ac:dyDescent="0.3">
      <c r="A66" s="1" t="s">
        <v>24</v>
      </c>
      <c r="B66" s="2">
        <v>38</v>
      </c>
      <c r="C66" s="3">
        <v>1.6743939632523499</v>
      </c>
      <c r="D66" s="3">
        <v>0.89333307756654945</v>
      </c>
      <c r="E66" s="3">
        <v>1.6017220113195989</v>
      </c>
      <c r="F66" s="3">
        <v>3.917344428949121</v>
      </c>
      <c r="G66" s="3">
        <f>+Frame0[[#This Row],[wmape_test]]-Frame0[[#This Row],[wmape_train]]</f>
        <v>3.0240113513825717</v>
      </c>
      <c r="H66" s="3">
        <v>0.99168820088470222</v>
      </c>
      <c r="I66" s="3">
        <v>0.92509067718839466</v>
      </c>
      <c r="J66" s="3">
        <v>0.8265583767767033</v>
      </c>
      <c r="K66" s="3">
        <f>+Frame0[[#This Row],[r2_train]]-Frame0[[#This Row],[r2_test]]</f>
        <v>0.16512982410799892</v>
      </c>
      <c r="L66" s="3">
        <v>7.730964183807373</v>
      </c>
      <c r="M66" s="2">
        <v>600</v>
      </c>
      <c r="N66" s="2">
        <v>4</v>
      </c>
      <c r="O66" s="3">
        <v>0.05</v>
      </c>
      <c r="P66" s="3">
        <v>0.72466066483603453</v>
      </c>
      <c r="Q66" s="3">
        <v>0.99605839951739905</v>
      </c>
      <c r="R66" s="3">
        <v>9.2465079493806428E-3</v>
      </c>
      <c r="S66" s="3">
        <v>1.995493414549866</v>
      </c>
      <c r="T66" s="2"/>
      <c r="U66" s="2">
        <v>42</v>
      </c>
      <c r="V66" s="2">
        <v>-1</v>
      </c>
      <c r="W66" s="2"/>
      <c r="X66" s="2">
        <v>50</v>
      </c>
      <c r="Y66" s="2">
        <v>83</v>
      </c>
      <c r="Z66" s="2">
        <v>-1</v>
      </c>
    </row>
    <row r="67" spans="1:26" x14ac:dyDescent="0.3">
      <c r="A67" s="1" t="s">
        <v>25</v>
      </c>
      <c r="B67" s="2">
        <v>5</v>
      </c>
      <c r="C67" s="3">
        <v>1.74100826712979</v>
      </c>
      <c r="D67" s="3">
        <v>0.70531884663678945</v>
      </c>
      <c r="E67" s="3">
        <v>1.6012523582168721</v>
      </c>
      <c r="F67" s="3">
        <v>3.8434371362891429</v>
      </c>
      <c r="G67" s="3">
        <f>+Frame0[[#This Row],[wmape_test]]-Frame0[[#This Row],[wmape_train]]</f>
        <v>3.1381182896523532</v>
      </c>
      <c r="H67" s="3">
        <v>0.9945902060241002</v>
      </c>
      <c r="I67" s="3">
        <v>0.92701847127673598</v>
      </c>
      <c r="J67" s="3">
        <v>0.82977982316426724</v>
      </c>
      <c r="K67" s="3">
        <f>+Frame0[[#This Row],[r2_train]]-Frame0[[#This Row],[r2_test]]</f>
        <v>0.16481038285983296</v>
      </c>
      <c r="L67" s="3">
        <v>13.22677707672119</v>
      </c>
      <c r="M67" s="2">
        <v>374</v>
      </c>
      <c r="N67" s="2">
        <v>4</v>
      </c>
      <c r="O67" s="3">
        <v>0.1</v>
      </c>
      <c r="P67" s="3">
        <v>0.8</v>
      </c>
      <c r="Q67" s="3">
        <v>0.81089444946459066</v>
      </c>
      <c r="R67" s="3">
        <v>1.5206778544257811</v>
      </c>
      <c r="S67" s="3">
        <v>0.2179901757593323</v>
      </c>
      <c r="T67" s="2">
        <v>11</v>
      </c>
      <c r="U67" s="2">
        <v>42</v>
      </c>
      <c r="V67" s="2">
        <v>-1</v>
      </c>
      <c r="W67" s="2">
        <v>20</v>
      </c>
      <c r="X67" s="2"/>
      <c r="Y67" s="2"/>
      <c r="Z67" s="2"/>
    </row>
    <row r="68" spans="1:26" x14ac:dyDescent="0.3">
      <c r="A68" s="1" t="s">
        <v>25</v>
      </c>
      <c r="B68" s="2">
        <v>38</v>
      </c>
      <c r="C68" s="3">
        <v>2.2509964011436212</v>
      </c>
      <c r="D68" s="3">
        <v>1.1943376021675589</v>
      </c>
      <c r="E68" s="3">
        <v>1.859150119038969</v>
      </c>
      <c r="F68" s="3">
        <v>3.9627186904970948</v>
      </c>
      <c r="G68" s="3">
        <f>+Frame0[[#This Row],[wmape_test]]-Frame0[[#This Row],[wmape_train]]</f>
        <v>2.7683810883295359</v>
      </c>
      <c r="H68" s="3">
        <v>0.98732723262205269</v>
      </c>
      <c r="I68" s="3">
        <v>0.92604920507381461</v>
      </c>
      <c r="J68" s="3">
        <v>0.84440561121748803</v>
      </c>
      <c r="K68" s="3">
        <f>+Frame0[[#This Row],[r2_train]]-Frame0[[#This Row],[r2_test]]</f>
        <v>0.14292162140456466</v>
      </c>
      <c r="L68" s="3">
        <v>16.986845970153809</v>
      </c>
      <c r="M68" s="2">
        <v>286</v>
      </c>
      <c r="N68" s="2">
        <v>8</v>
      </c>
      <c r="O68" s="3">
        <v>0.01</v>
      </c>
      <c r="P68" s="3">
        <v>1</v>
      </c>
      <c r="Q68" s="3">
        <v>0.96685485379057146</v>
      </c>
      <c r="R68" s="3">
        <v>1.2520500849886059E-2</v>
      </c>
      <c r="S68" s="3">
        <v>5.905707916534054E-3</v>
      </c>
      <c r="T68" s="2">
        <v>5</v>
      </c>
      <c r="U68" s="2">
        <v>42</v>
      </c>
      <c r="V68" s="2">
        <v>-1</v>
      </c>
      <c r="W68" s="2">
        <v>20</v>
      </c>
      <c r="X68" s="2"/>
      <c r="Y68" s="2"/>
      <c r="Z68" s="2"/>
    </row>
    <row r="69" spans="1:26" x14ac:dyDescent="0.3">
      <c r="A69" s="1" t="s">
        <v>25</v>
      </c>
      <c r="B69" s="2">
        <v>37</v>
      </c>
      <c r="C69" s="3">
        <v>1.926724999505528</v>
      </c>
      <c r="D69" s="3">
        <v>0.97160547864979896</v>
      </c>
      <c r="E69" s="3">
        <v>1.7358709677513191</v>
      </c>
      <c r="F69" s="3">
        <v>3.996989280052285</v>
      </c>
      <c r="G69" s="3">
        <f>+Frame0[[#This Row],[wmape_test]]-Frame0[[#This Row],[wmape_train]]</f>
        <v>3.0253838014024863</v>
      </c>
      <c r="H69" s="3">
        <v>0.99048684063460524</v>
      </c>
      <c r="I69" s="3">
        <v>0.92945301643021683</v>
      </c>
      <c r="J69" s="3">
        <v>0.83370214498490269</v>
      </c>
      <c r="K69" s="3">
        <f>+Frame0[[#This Row],[r2_train]]-Frame0[[#This Row],[r2_test]]</f>
        <v>0.15678469564970254</v>
      </c>
      <c r="L69" s="3">
        <v>10.66369795799255</v>
      </c>
      <c r="M69" s="2">
        <v>346</v>
      </c>
      <c r="N69" s="2">
        <v>4</v>
      </c>
      <c r="O69" s="3">
        <v>0.05</v>
      </c>
      <c r="P69" s="3">
        <v>1</v>
      </c>
      <c r="Q69" s="3">
        <v>0.94809900966004479</v>
      </c>
      <c r="R69" s="3">
        <v>2.091830010202354E-2</v>
      </c>
      <c r="S69" s="3">
        <v>3.5783022576581858E-3</v>
      </c>
      <c r="T69" s="2">
        <v>7</v>
      </c>
      <c r="U69" s="2">
        <v>42</v>
      </c>
      <c r="V69" s="2">
        <v>-1</v>
      </c>
      <c r="W69" s="2">
        <v>20</v>
      </c>
      <c r="X69" s="2"/>
      <c r="Y69" s="2"/>
      <c r="Z69" s="2"/>
    </row>
    <row r="70" spans="1:26" hidden="1" x14ac:dyDescent="0.3">
      <c r="A70" s="1" t="s">
        <v>24</v>
      </c>
      <c r="B70" s="2">
        <v>19</v>
      </c>
      <c r="C70" s="3">
        <v>2.0086992147780789</v>
      </c>
      <c r="D70" s="3">
        <v>0.90647309455841785</v>
      </c>
      <c r="E70" s="3">
        <v>1.8599953243933629</v>
      </c>
      <c r="F70" s="3">
        <v>3.9785103944246032</v>
      </c>
      <c r="G70" s="3">
        <f>+Frame0[[#This Row],[wmape_test]]-Frame0[[#This Row],[wmape_train]]</f>
        <v>3.0720372998661851</v>
      </c>
      <c r="H70" s="3">
        <v>0.99119248794009951</v>
      </c>
      <c r="I70" s="3">
        <v>0.91962411863887994</v>
      </c>
      <c r="J70" s="3">
        <v>0.83266656058884336</v>
      </c>
      <c r="K70" s="3">
        <f>+Frame0[[#This Row],[r2_train]]-Frame0[[#This Row],[r2_test]]</f>
        <v>0.15852592735125615</v>
      </c>
      <c r="L70" s="3">
        <v>13.580953121185299</v>
      </c>
      <c r="M70" s="2">
        <v>400</v>
      </c>
      <c r="N70" s="2">
        <v>14</v>
      </c>
      <c r="O70" s="3">
        <v>0.01</v>
      </c>
      <c r="P70" s="3">
        <v>0.94135503007414234</v>
      </c>
      <c r="Q70" s="3">
        <v>0.94394701421669813</v>
      </c>
      <c r="R70" s="3">
        <v>2.184512419466977E-2</v>
      </c>
      <c r="S70" s="3">
        <v>3.4359281439771878E-3</v>
      </c>
      <c r="T70" s="2"/>
      <c r="U70" s="2">
        <v>42</v>
      </c>
      <c r="V70" s="2">
        <v>-1</v>
      </c>
      <c r="W70" s="2"/>
      <c r="X70" s="2">
        <v>50</v>
      </c>
      <c r="Y70" s="2">
        <v>64</v>
      </c>
      <c r="Z70" s="2">
        <v>-1</v>
      </c>
    </row>
    <row r="71" spans="1:26" hidden="1" x14ac:dyDescent="0.3">
      <c r="A71" s="1" t="s">
        <v>24</v>
      </c>
      <c r="B71" s="2">
        <v>9</v>
      </c>
      <c r="C71" s="3">
        <v>2.038007770502082</v>
      </c>
      <c r="D71" s="3">
        <v>0.9879126600260616</v>
      </c>
      <c r="E71" s="3">
        <v>1.777458137420914</v>
      </c>
      <c r="F71" s="3">
        <v>4.0130014238842833</v>
      </c>
      <c r="G71" s="3">
        <f>+Frame0[[#This Row],[wmape_test]]-Frame0[[#This Row],[wmape_train]]</f>
        <v>3.0250887638582218</v>
      </c>
      <c r="H71" s="3">
        <v>0.99029986767534983</v>
      </c>
      <c r="I71" s="3">
        <v>0.92623658015813237</v>
      </c>
      <c r="J71" s="3">
        <v>0.8288661138458292</v>
      </c>
      <c r="K71" s="3">
        <f>+Frame0[[#This Row],[r2_train]]-Frame0[[#This Row],[r2_test]]</f>
        <v>0.16143375382952063</v>
      </c>
      <c r="L71" s="3">
        <v>3.6435034275054932</v>
      </c>
      <c r="M71" s="2">
        <v>200</v>
      </c>
      <c r="N71" s="2">
        <v>4</v>
      </c>
      <c r="O71" s="3">
        <v>0.1</v>
      </c>
      <c r="P71" s="3">
        <v>0.69426256005801523</v>
      </c>
      <c r="Q71" s="3">
        <v>0.63692230913646075</v>
      </c>
      <c r="R71" s="3">
        <v>4.0772182792817982E-2</v>
      </c>
      <c r="S71" s="3">
        <v>0.12601613608349979</v>
      </c>
      <c r="T71" s="2"/>
      <c r="U71" s="2">
        <v>42</v>
      </c>
      <c r="V71" s="2">
        <v>-1</v>
      </c>
      <c r="W71" s="2"/>
      <c r="X71" s="2">
        <v>20</v>
      </c>
      <c r="Y71" s="2">
        <v>13</v>
      </c>
      <c r="Z71" s="2">
        <v>-1</v>
      </c>
    </row>
    <row r="72" spans="1:26" x14ac:dyDescent="0.3">
      <c r="A72" s="1" t="s">
        <v>25</v>
      </c>
      <c r="B72" s="2">
        <v>39</v>
      </c>
      <c r="C72" s="3">
        <v>1.8869424165950299</v>
      </c>
      <c r="D72" s="3">
        <v>1.0046220450837859</v>
      </c>
      <c r="E72" s="3">
        <v>1.8151901704830999</v>
      </c>
      <c r="F72" s="3">
        <v>4.0504676139794613</v>
      </c>
      <c r="G72" s="3">
        <f>+Frame0[[#This Row],[wmape_test]]-Frame0[[#This Row],[wmape_train]]</f>
        <v>3.0458455688956754</v>
      </c>
      <c r="H72" s="3">
        <v>0.98995415746875826</v>
      </c>
      <c r="I72" s="3">
        <v>0.92984271216855729</v>
      </c>
      <c r="J72" s="3">
        <v>0.83167942986115007</v>
      </c>
      <c r="K72" s="3">
        <f>+Frame0[[#This Row],[r2_train]]-Frame0[[#This Row],[r2_test]]</f>
        <v>0.15827472760760819</v>
      </c>
      <c r="L72" s="3">
        <v>9.9151260852813721</v>
      </c>
      <c r="M72" s="2">
        <v>320</v>
      </c>
      <c r="N72" s="2">
        <v>4</v>
      </c>
      <c r="O72" s="3">
        <v>0.05</v>
      </c>
      <c r="P72" s="3">
        <v>1</v>
      </c>
      <c r="Q72" s="3">
        <v>0.89068473681181692</v>
      </c>
      <c r="R72" s="3">
        <v>4.1850291508569483E-3</v>
      </c>
      <c r="S72" s="3">
        <v>1.26090789075467E-3</v>
      </c>
      <c r="T72" s="2">
        <v>8</v>
      </c>
      <c r="U72" s="2">
        <v>42</v>
      </c>
      <c r="V72" s="2">
        <v>-1</v>
      </c>
      <c r="W72" s="2">
        <v>20</v>
      </c>
      <c r="X72" s="2"/>
      <c r="Y72" s="2"/>
      <c r="Z72" s="2"/>
    </row>
    <row r="73" spans="1:26" x14ac:dyDescent="0.3">
      <c r="A73" s="1" t="s">
        <v>25</v>
      </c>
      <c r="B73" s="2">
        <v>4</v>
      </c>
      <c r="C73" s="3">
        <v>2.0847078848245211</v>
      </c>
      <c r="D73" s="3">
        <v>0.97875474577111754</v>
      </c>
      <c r="E73" s="3">
        <v>1.884043563761912</v>
      </c>
      <c r="F73" s="3">
        <v>4.0540822291370704</v>
      </c>
      <c r="G73" s="3">
        <f>+Frame0[[#This Row],[wmape_test]]-Frame0[[#This Row],[wmape_train]]</f>
        <v>3.0753274833659527</v>
      </c>
      <c r="H73" s="3">
        <v>0.99015011082211168</v>
      </c>
      <c r="I73" s="3">
        <v>0.92211161846467626</v>
      </c>
      <c r="J73" s="3">
        <v>0.82832869806164577</v>
      </c>
      <c r="K73" s="3">
        <f>+Frame0[[#This Row],[r2_train]]-Frame0[[#This Row],[r2_test]]</f>
        <v>0.16182141276046591</v>
      </c>
      <c r="L73" s="3">
        <v>10.96230864524841</v>
      </c>
      <c r="M73" s="2">
        <v>338</v>
      </c>
      <c r="N73" s="2">
        <v>4</v>
      </c>
      <c r="O73" s="3">
        <v>0.05</v>
      </c>
      <c r="P73" s="3">
        <v>1</v>
      </c>
      <c r="Q73" s="3">
        <v>0.7984864854652145</v>
      </c>
      <c r="R73" s="3">
        <v>0.32531467972668132</v>
      </c>
      <c r="S73" s="3">
        <v>9.7957571684418046</v>
      </c>
      <c r="T73" s="2">
        <v>12</v>
      </c>
      <c r="U73" s="2">
        <v>42</v>
      </c>
      <c r="V73" s="2">
        <v>-1</v>
      </c>
      <c r="W73" s="2">
        <v>20</v>
      </c>
      <c r="X73" s="2"/>
      <c r="Y73" s="2"/>
      <c r="Z73" s="2"/>
    </row>
    <row r="74" spans="1:26" hidden="1" x14ac:dyDescent="0.3">
      <c r="A74" s="1" t="s">
        <v>24</v>
      </c>
      <c r="B74" s="2">
        <v>29</v>
      </c>
      <c r="C74" s="3">
        <v>2.557494674838801</v>
      </c>
      <c r="D74" s="3">
        <v>1.543672051308121</v>
      </c>
      <c r="E74" s="3">
        <v>2.4095296575486089</v>
      </c>
      <c r="F74" s="3">
        <v>4.4285883365492191</v>
      </c>
      <c r="G74" s="3">
        <f>+Frame0[[#This Row],[wmape_test]]-Frame0[[#This Row],[wmape_train]]</f>
        <v>2.8849162852410979</v>
      </c>
      <c r="H74" s="3">
        <v>0.97727092470331811</v>
      </c>
      <c r="I74" s="3">
        <v>0.90863406413954462</v>
      </c>
      <c r="J74" s="3">
        <v>0.82613678638175303</v>
      </c>
      <c r="K74" s="3">
        <f>+Frame0[[#This Row],[r2_train]]-Frame0[[#This Row],[r2_test]]</f>
        <v>0.15113413832156508</v>
      </c>
      <c r="L74" s="3">
        <v>10.36740374565125</v>
      </c>
      <c r="M74" s="2">
        <v>600</v>
      </c>
      <c r="N74" s="2">
        <v>4</v>
      </c>
      <c r="O74" s="3">
        <v>0.01</v>
      </c>
      <c r="P74" s="3">
        <v>0.74499819595000849</v>
      </c>
      <c r="Q74" s="3">
        <v>0.9630114837910112</v>
      </c>
      <c r="R74" s="3">
        <v>3.0885348325787399E-3</v>
      </c>
      <c r="S74" s="3">
        <v>7.537102650702264E-2</v>
      </c>
      <c r="T74" s="2"/>
      <c r="U74" s="2">
        <v>42</v>
      </c>
      <c r="V74" s="2">
        <v>-1</v>
      </c>
      <c r="W74" s="2"/>
      <c r="X74" s="2">
        <v>20</v>
      </c>
      <c r="Y74" s="2">
        <v>90</v>
      </c>
      <c r="Z74" s="2">
        <v>-1</v>
      </c>
    </row>
    <row r="75" spans="1:26" x14ac:dyDescent="0.3">
      <c r="A75" s="1" t="s">
        <v>25</v>
      </c>
      <c r="B75" s="2">
        <v>6</v>
      </c>
      <c r="C75" s="3">
        <v>3.0606827496615581</v>
      </c>
      <c r="D75" s="3">
        <v>1.934029327720648</v>
      </c>
      <c r="E75" s="3">
        <v>2.8160447198961842</v>
      </c>
      <c r="F75" s="3">
        <v>4.5850164988624096</v>
      </c>
      <c r="G75" s="3">
        <f>+Frame0[[#This Row],[wmape_test]]-Frame0[[#This Row],[wmape_train]]</f>
        <v>2.6509871711417619</v>
      </c>
      <c r="H75" s="3">
        <v>0.9651704368966042</v>
      </c>
      <c r="I75" s="3">
        <v>0.88377333680454062</v>
      </c>
      <c r="J75" s="3">
        <v>0.82212659111100295</v>
      </c>
      <c r="K75" s="3">
        <f>+Frame0[[#This Row],[r2_train]]-Frame0[[#This Row],[r2_test]]</f>
        <v>0.14304384578560125</v>
      </c>
      <c r="L75" s="3">
        <v>18.170777082443241</v>
      </c>
      <c r="M75" s="2">
        <v>421</v>
      </c>
      <c r="N75" s="2">
        <v>4</v>
      </c>
      <c r="O75" s="3">
        <v>0.01</v>
      </c>
      <c r="P75" s="3">
        <v>0.6</v>
      </c>
      <c r="Q75" s="3">
        <v>0.81589647645680818</v>
      </c>
      <c r="R75" s="3">
        <v>0.3034397981877936</v>
      </c>
      <c r="S75" s="3">
        <v>1.489784849655533E-2</v>
      </c>
      <c r="T75" s="2">
        <v>11</v>
      </c>
      <c r="U75" s="2">
        <v>42</v>
      </c>
      <c r="V75" s="2">
        <v>-1</v>
      </c>
      <c r="W75" s="2">
        <v>20</v>
      </c>
      <c r="X75" s="2"/>
      <c r="Y75" s="2"/>
      <c r="Z75" s="2"/>
    </row>
    <row r="76" spans="1:26" x14ac:dyDescent="0.3">
      <c r="A76" s="1" t="s">
        <v>25</v>
      </c>
      <c r="B76" s="2">
        <v>8</v>
      </c>
      <c r="C76" s="3">
        <v>3.0433129860741799</v>
      </c>
      <c r="D76" s="3">
        <v>1.884014320288713</v>
      </c>
      <c r="E76" s="3">
        <v>2.7875258382308021</v>
      </c>
      <c r="F76" s="3">
        <v>4.6025419821366143</v>
      </c>
      <c r="G76" s="3">
        <f>+Frame0[[#This Row],[wmape_test]]-Frame0[[#This Row],[wmape_train]]</f>
        <v>2.7185276618479013</v>
      </c>
      <c r="H76" s="3">
        <v>0.96757560198965908</v>
      </c>
      <c r="I76" s="3">
        <v>0.87884060221220639</v>
      </c>
      <c r="J76" s="3">
        <v>0.81897481334315758</v>
      </c>
      <c r="K76" s="3">
        <f>+Frame0[[#This Row],[r2_train]]-Frame0[[#This Row],[r2_test]]</f>
        <v>0.1486007886465015</v>
      </c>
      <c r="L76" s="3">
        <v>12.483901262283331</v>
      </c>
      <c r="M76" s="2">
        <v>375</v>
      </c>
      <c r="N76" s="2">
        <v>5</v>
      </c>
      <c r="O76" s="3">
        <v>0.01</v>
      </c>
      <c r="P76" s="3">
        <v>1</v>
      </c>
      <c r="Q76" s="3">
        <v>0.72303253938995793</v>
      </c>
      <c r="R76" s="3">
        <v>0.28954025881244733</v>
      </c>
      <c r="S76" s="3">
        <v>3.2664535982345103E-2</v>
      </c>
      <c r="T76" s="2">
        <v>19</v>
      </c>
      <c r="U76" s="2">
        <v>42</v>
      </c>
      <c r="V76" s="2">
        <v>-1</v>
      </c>
      <c r="W76" s="2">
        <v>20</v>
      </c>
      <c r="X76" s="2"/>
      <c r="Y76" s="2"/>
      <c r="Z76" s="2"/>
    </row>
    <row r="77" spans="1:26" hidden="1" x14ac:dyDescent="0.3">
      <c r="A77" s="1" t="s">
        <v>24</v>
      </c>
      <c r="B77" s="2">
        <v>10</v>
      </c>
      <c r="C77" s="3">
        <v>3.208246222580549</v>
      </c>
      <c r="D77" s="3">
        <v>1.96507747119621</v>
      </c>
      <c r="E77" s="3">
        <v>2.8604237448245948</v>
      </c>
      <c r="F77" s="3">
        <v>4.678283618232709</v>
      </c>
      <c r="G77" s="3">
        <f>+Frame0[[#This Row],[wmape_test]]-Frame0[[#This Row],[wmape_train]]</f>
        <v>2.713206147036499</v>
      </c>
      <c r="H77" s="3">
        <v>0.96314933209005549</v>
      </c>
      <c r="I77" s="3">
        <v>0.87988741186778763</v>
      </c>
      <c r="J77" s="3">
        <v>0.81424638889850143</v>
      </c>
      <c r="K77" s="3">
        <f>+Frame0[[#This Row],[r2_train]]-Frame0[[#This Row],[r2_test]]</f>
        <v>0.14890294319155406</v>
      </c>
      <c r="L77" s="3">
        <v>7.9717462062835693</v>
      </c>
      <c r="M77" s="2">
        <v>400</v>
      </c>
      <c r="N77" s="2">
        <v>4</v>
      </c>
      <c r="O77" s="3">
        <v>0.01</v>
      </c>
      <c r="P77" s="3">
        <v>0.87095338655292043</v>
      </c>
      <c r="Q77" s="3">
        <v>0.97833115748413935</v>
      </c>
      <c r="R77" s="3">
        <v>8.2012089678794666</v>
      </c>
      <c r="S77" s="3">
        <v>6.4125603927836748E-3</v>
      </c>
      <c r="T77" s="2"/>
      <c r="U77" s="2">
        <v>42</v>
      </c>
      <c r="V77" s="2">
        <v>-1</v>
      </c>
      <c r="W77" s="2"/>
      <c r="X77" s="2">
        <v>100</v>
      </c>
      <c r="Y77" s="2">
        <v>99</v>
      </c>
      <c r="Z77" s="2">
        <v>-1</v>
      </c>
    </row>
    <row r="78" spans="1:26" x14ac:dyDescent="0.3">
      <c r="A78" s="1" t="s">
        <v>25</v>
      </c>
      <c r="B78" s="2">
        <v>0</v>
      </c>
      <c r="C78" s="3">
        <v>3.4241126381737339</v>
      </c>
      <c r="D78" s="3">
        <v>2.2413214304371252</v>
      </c>
      <c r="E78" s="3">
        <v>3.0106758140034628</v>
      </c>
      <c r="F78" s="3">
        <v>4.7311171570260804</v>
      </c>
      <c r="G78" s="3">
        <f>+Frame0[[#This Row],[wmape_test]]-Frame0[[#This Row],[wmape_train]]</f>
        <v>2.4897957265889552</v>
      </c>
      <c r="H78" s="3">
        <v>0.95387356794249534</v>
      </c>
      <c r="I78" s="3">
        <v>0.8711402415445636</v>
      </c>
      <c r="J78" s="3">
        <v>0.81599112389751549</v>
      </c>
      <c r="K78" s="3">
        <f>+Frame0[[#This Row],[r2_train]]-Frame0[[#This Row],[r2_test]]</f>
        <v>0.13788244404497985</v>
      </c>
      <c r="L78" s="3">
        <v>17.90285587310791</v>
      </c>
      <c r="M78" s="2">
        <v>329</v>
      </c>
      <c r="N78" s="2">
        <v>4</v>
      </c>
      <c r="O78" s="3">
        <v>0.01</v>
      </c>
      <c r="P78" s="3">
        <v>0.8</v>
      </c>
      <c r="Q78" s="3">
        <v>0.92924434369138376</v>
      </c>
      <c r="R78" s="3">
        <v>0.78422893401098459</v>
      </c>
      <c r="S78" s="3">
        <v>0.13708870088729291</v>
      </c>
      <c r="T78" s="2">
        <v>20</v>
      </c>
      <c r="U78" s="2">
        <v>42</v>
      </c>
      <c r="V78" s="2">
        <v>-1</v>
      </c>
      <c r="W78" s="2">
        <v>20</v>
      </c>
      <c r="X78" s="2"/>
      <c r="Y78" s="2"/>
      <c r="Z78" s="2"/>
    </row>
    <row r="79" spans="1:26" x14ac:dyDescent="0.3">
      <c r="A79" s="1" t="s">
        <v>25</v>
      </c>
      <c r="B79" s="2">
        <v>35</v>
      </c>
      <c r="C79" s="3">
        <v>3.5007788985975878</v>
      </c>
      <c r="D79" s="3">
        <v>2.3176501657506252</v>
      </c>
      <c r="E79" s="3">
        <v>3.1207210367333289</v>
      </c>
      <c r="F79" s="3">
        <v>4.7818013142452536</v>
      </c>
      <c r="G79" s="3">
        <f>+Frame0[[#This Row],[wmape_test]]-Frame0[[#This Row],[wmape_train]]</f>
        <v>2.4641511484946284</v>
      </c>
      <c r="H79" s="3">
        <v>0.95106587214574267</v>
      </c>
      <c r="I79" s="3">
        <v>0.86216032620413718</v>
      </c>
      <c r="J79" s="3">
        <v>0.81348228684952439</v>
      </c>
      <c r="K79" s="3">
        <f>+Frame0[[#This Row],[r2_train]]-Frame0[[#This Row],[r2_test]]</f>
        <v>0.13758358529621828</v>
      </c>
      <c r="L79" s="3">
        <v>11.072517395019529</v>
      </c>
      <c r="M79" s="2">
        <v>316</v>
      </c>
      <c r="N79" s="2">
        <v>4</v>
      </c>
      <c r="O79" s="3">
        <v>0.01</v>
      </c>
      <c r="P79" s="3">
        <v>1</v>
      </c>
      <c r="Q79" s="3">
        <v>0.89877930675598683</v>
      </c>
      <c r="R79" s="3">
        <v>6.6259475767535145E-2</v>
      </c>
      <c r="S79" s="3">
        <v>8.6983338466141685E-3</v>
      </c>
      <c r="T79" s="2">
        <v>3</v>
      </c>
      <c r="U79" s="2">
        <v>42</v>
      </c>
      <c r="V79" s="2">
        <v>-1</v>
      </c>
      <c r="W79" s="2">
        <v>20</v>
      </c>
      <c r="X79" s="2"/>
      <c r="Y79" s="2"/>
      <c r="Z79" s="2"/>
    </row>
    <row r="80" spans="1:26" hidden="1" x14ac:dyDescent="0.3">
      <c r="A80" s="1" t="s">
        <v>24</v>
      </c>
      <c r="B80" s="2">
        <v>8</v>
      </c>
      <c r="C80" s="3">
        <v>4.0425139621332526</v>
      </c>
      <c r="D80" s="3">
        <v>2.773725247553406</v>
      </c>
      <c r="E80" s="3">
        <v>4.1575441840492449</v>
      </c>
      <c r="F80" s="3">
        <v>5.5201755433967179</v>
      </c>
      <c r="G80" s="3">
        <f>+Frame0[[#This Row],[wmape_test]]-Frame0[[#This Row],[wmape_train]]</f>
        <v>2.7464502958433119</v>
      </c>
      <c r="H80" s="3">
        <v>0.91772454922719582</v>
      </c>
      <c r="I80" s="3">
        <v>0.76974934035923726</v>
      </c>
      <c r="J80" s="3">
        <v>0.77532974868949378</v>
      </c>
      <c r="K80" s="3">
        <f>+Frame0[[#This Row],[r2_train]]-Frame0[[#This Row],[r2_test]]</f>
        <v>0.14239480053770204</v>
      </c>
      <c r="L80" s="3">
        <v>6.1627283096313477</v>
      </c>
      <c r="M80" s="2">
        <v>200</v>
      </c>
      <c r="N80" s="2">
        <v>8</v>
      </c>
      <c r="O80" s="3">
        <v>0.01</v>
      </c>
      <c r="P80" s="3">
        <v>0.98708689206302569</v>
      </c>
      <c r="Q80" s="3">
        <v>0.62778336435915882</v>
      </c>
      <c r="R80" s="3">
        <v>0.26804912549207838</v>
      </c>
      <c r="S80" s="3">
        <v>0.1006485983879092</v>
      </c>
      <c r="T80" s="2"/>
      <c r="U80" s="2">
        <v>42</v>
      </c>
      <c r="V80" s="2">
        <v>-1</v>
      </c>
      <c r="W80" s="2"/>
      <c r="X80" s="2">
        <v>50</v>
      </c>
      <c r="Y80" s="2">
        <v>48</v>
      </c>
      <c r="Z80" s="2">
        <v>-1</v>
      </c>
    </row>
    <row r="81" spans="1:26" x14ac:dyDescent="0.3">
      <c r="A81" s="1" t="s">
        <v>25</v>
      </c>
      <c r="B81" s="2">
        <v>1</v>
      </c>
      <c r="C81" s="3">
        <v>4.632808334877379</v>
      </c>
      <c r="D81" s="3">
        <v>3.3649885871382481</v>
      </c>
      <c r="E81" s="3">
        <v>4.1970552274563193</v>
      </c>
      <c r="F81" s="3">
        <v>5.5650066214143807</v>
      </c>
      <c r="G81" s="3">
        <f>+Frame0[[#This Row],[wmape_test]]-Frame0[[#This Row],[wmape_train]]</f>
        <v>2.2000180342761326</v>
      </c>
      <c r="H81" s="3">
        <v>0.89236426452477835</v>
      </c>
      <c r="I81" s="3">
        <v>0.74915896944469273</v>
      </c>
      <c r="J81" s="3">
        <v>0.76410243833077873</v>
      </c>
      <c r="K81" s="4">
        <f>+Frame0[[#This Row],[r2_train]]-Frame0[[#This Row],[r2_test]]</f>
        <v>0.12826182619399962</v>
      </c>
      <c r="L81" s="3">
        <v>9.4893295764923096</v>
      </c>
      <c r="M81" s="2">
        <v>219</v>
      </c>
      <c r="N81" s="2">
        <v>4</v>
      </c>
      <c r="O81" s="3">
        <v>0.01</v>
      </c>
      <c r="P81" s="3">
        <v>0.8</v>
      </c>
      <c r="Q81" s="3">
        <v>0.70164115431085805</v>
      </c>
      <c r="R81" s="3">
        <v>6.6156929418307499E-3</v>
      </c>
      <c r="S81" s="3">
        <v>8.4649964408271081E-3</v>
      </c>
      <c r="T81" s="2">
        <v>9</v>
      </c>
      <c r="U81" s="2">
        <v>42</v>
      </c>
      <c r="V81" s="2">
        <v>-1</v>
      </c>
      <c r="W81" s="2">
        <v>20</v>
      </c>
      <c r="X81" s="2"/>
      <c r="Y81" s="2"/>
      <c r="Z8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D9A0-39A5-486A-A166-0B87FF7B5C20}">
  <dimension ref="A1:AA3"/>
  <sheetViews>
    <sheetView tabSelected="1" topLeftCell="S1" workbookViewId="0">
      <selection activeCell="X3" sqref="X3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6</v>
      </c>
      <c r="I1" t="s">
        <v>7</v>
      </c>
      <c r="J1" t="s">
        <v>8</v>
      </c>
      <c r="K1" t="s">
        <v>26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7" x14ac:dyDescent="0.3">
      <c r="A2" t="s">
        <v>24</v>
      </c>
      <c r="B2">
        <v>28</v>
      </c>
      <c r="C2">
        <v>1.161748291749265</v>
      </c>
      <c r="D2">
        <v>0.20098978021400249</v>
      </c>
      <c r="E2">
        <v>0.96120399462008477</v>
      </c>
      <c r="F2">
        <v>3.2136893102773509</v>
      </c>
      <c r="G2">
        <v>3.0126995300633483</v>
      </c>
      <c r="H2">
        <v>0.99937774721865502</v>
      </c>
      <c r="I2">
        <v>0.95085403860058859</v>
      </c>
      <c r="J2">
        <v>0.86199451006365435</v>
      </c>
      <c r="K2">
        <v>0.13738323715500067</v>
      </c>
      <c r="L2">
        <v>12.30373001098633</v>
      </c>
      <c r="M2">
        <v>600</v>
      </c>
      <c r="N2">
        <v>14</v>
      </c>
      <c r="O2">
        <v>0.1</v>
      </c>
      <c r="P2">
        <v>0.78268034777315865</v>
      </c>
      <c r="Q2">
        <v>0.9620030719949052</v>
      </c>
      <c r="R2">
        <v>2.3697978487370328E-3</v>
      </c>
      <c r="S2">
        <v>0.34164787685420672</v>
      </c>
      <c r="U2">
        <v>42</v>
      </c>
      <c r="V2">
        <v>-1</v>
      </c>
      <c r="X2">
        <v>50</v>
      </c>
      <c r="Y2">
        <v>85</v>
      </c>
      <c r="Z2">
        <v>-1</v>
      </c>
    </row>
    <row r="3" spans="1:27" x14ac:dyDescent="0.3">
      <c r="A3" s="1" t="s">
        <v>25</v>
      </c>
      <c r="B3" s="2">
        <v>15</v>
      </c>
      <c r="C3" s="3">
        <v>1.2988138112044061</v>
      </c>
      <c r="D3" s="3">
        <v>0.24184900542013371</v>
      </c>
      <c r="E3" s="3">
        <v>1.24042518428389</v>
      </c>
      <c r="F3" s="3">
        <v>3.469512665449872</v>
      </c>
      <c r="G3" s="3">
        <f>+Frame0[[#This Row],[wmape_test]]-Frame0[[#This Row],[wmape_train]]</f>
        <v>3.0052556253828704</v>
      </c>
      <c r="H3" s="3">
        <v>0.99928819128797286</v>
      </c>
      <c r="I3" s="3">
        <v>0.94924642755186794</v>
      </c>
      <c r="J3" s="4">
        <v>0.85742950760194958</v>
      </c>
      <c r="K3" s="3">
        <f>+Frame0[[#This Row],[r2_train]]-Frame0[[#This Row],[r2_test]]</f>
        <v>0.14139794133478545</v>
      </c>
      <c r="L3" s="3">
        <v>30.732265949249271</v>
      </c>
      <c r="M3" s="2">
        <v>456</v>
      </c>
      <c r="N3" s="2">
        <v>8</v>
      </c>
      <c r="O3" s="3">
        <v>0.1</v>
      </c>
      <c r="P3" s="3">
        <v>0.6</v>
      </c>
      <c r="Q3" s="3">
        <v>0.66578040039438502</v>
      </c>
      <c r="R3" s="3">
        <v>4.3487943088085089E-2</v>
      </c>
      <c r="S3" s="3">
        <v>1.088954109655955</v>
      </c>
      <c r="T3" s="2">
        <v>15</v>
      </c>
      <c r="U3" s="2">
        <v>42</v>
      </c>
      <c r="V3" s="2">
        <v>-1</v>
      </c>
      <c r="W3" s="2">
        <v>20</v>
      </c>
      <c r="X3" s="6"/>
      <c r="Y3" s="2"/>
      <c r="Z3" s="2"/>
      <c r="AA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Mosquera, Leslie Estefany (Alliance Bioversity-CIAT)</cp:lastModifiedBy>
  <dcterms:created xsi:type="dcterms:W3CDTF">2026-08-16T12:48:02Z</dcterms:created>
  <dcterms:modified xsi:type="dcterms:W3CDTF">2026-08-16T16:04:27Z</dcterms:modified>
</cp:coreProperties>
</file>